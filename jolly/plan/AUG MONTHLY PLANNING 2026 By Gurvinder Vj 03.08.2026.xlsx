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vo112\Downloads\"/>
    </mc:Choice>
  </mc:AlternateContent>
  <xr:revisionPtr revIDLastSave="0" documentId="13_ncr:1_{EAB17321-5BD4-48C1-AF0E-53244B91AFDC}" xr6:coauthVersionLast="36" xr6:coauthVersionMax="47" xr10:uidLastSave="{00000000-0000-0000-0000-000000000000}"/>
  <bookViews>
    <workbookView xWindow="0" yWindow="0" windowWidth="16410" windowHeight="7425" activeTab="1" xr2:uid="{00000000-000D-0000-FFFF-FFFF00000000}"/>
  </bookViews>
  <sheets>
    <sheet name="Sheet3" sheetId="6" r:id="rId1"/>
    <sheet name="FINAL (2)" sheetId="4" r:id="rId2"/>
    <sheet name="FINAL" sheetId="3" r:id="rId3"/>
    <sheet name="Sheet2" sheetId="5" r:id="rId4"/>
  </sheets>
  <externalReferences>
    <externalReference r:id="rId5"/>
    <externalReference r:id="rId6"/>
  </externalReferences>
  <definedNames>
    <definedName name="_xlnm._FilterDatabase" localSheetId="2" hidden="1">FINAL!$A$3:$T$189</definedName>
    <definedName name="_xlnm._FilterDatabase" localSheetId="1" hidden="1">'FINAL (2)'!$A$2:$W$2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R1" i="4" l="1"/>
  <c r="S1" i="4"/>
  <c r="Q1" i="4"/>
  <c r="P47" i="4" l="1"/>
  <c r="M47" i="4" s="1"/>
  <c r="P44" i="4"/>
  <c r="M44" i="4" s="1"/>
  <c r="P31" i="4"/>
  <c r="M31" i="4" s="1"/>
  <c r="P27" i="4"/>
  <c r="M27" i="4" s="1"/>
  <c r="P26" i="4"/>
  <c r="M26" i="4" s="1"/>
  <c r="P25" i="4"/>
  <c r="M25" i="4" s="1"/>
  <c r="P24" i="4"/>
  <c r="M24" i="4" s="1"/>
  <c r="P21" i="4"/>
  <c r="M21" i="4" s="1"/>
  <c r="P10" i="4"/>
  <c r="M10" i="4" s="1"/>
  <c r="P5" i="4"/>
  <c r="M5" i="4" s="1"/>
  <c r="P3" i="4"/>
  <c r="M3" i="4" s="1"/>
  <c r="M91" i="4"/>
  <c r="M71" i="4"/>
  <c r="M33" i="4"/>
  <c r="M95" i="4"/>
  <c r="M96" i="4"/>
  <c r="M94" i="4"/>
  <c r="M93" i="4"/>
  <c r="M92" i="4"/>
  <c r="M88" i="4"/>
  <c r="M78" i="4"/>
  <c r="M76" i="4"/>
  <c r="M72" i="4"/>
  <c r="M69" i="4"/>
  <c r="M98" i="4"/>
  <c r="M77" i="4"/>
  <c r="M75" i="4"/>
  <c r="M45" i="4"/>
  <c r="M4" i="4"/>
  <c r="M6" i="4"/>
  <c r="M7" i="4"/>
  <c r="M8" i="4"/>
  <c r="M9" i="4"/>
  <c r="M11" i="4"/>
  <c r="M12" i="4"/>
  <c r="M13" i="4"/>
  <c r="M15" i="4"/>
  <c r="M16" i="4"/>
  <c r="M17" i="4"/>
  <c r="M18" i="4"/>
  <c r="M19" i="4"/>
  <c r="M20" i="4"/>
  <c r="M22" i="4"/>
  <c r="M23" i="4"/>
  <c r="M28" i="4"/>
  <c r="M29" i="4"/>
  <c r="M30" i="4"/>
  <c r="M32" i="4"/>
  <c r="M34" i="4"/>
  <c r="M35" i="4"/>
  <c r="M36" i="4"/>
  <c r="M37" i="4"/>
  <c r="M38" i="4"/>
  <c r="M39" i="4"/>
  <c r="M40" i="4"/>
  <c r="M41" i="4"/>
  <c r="M42" i="4"/>
  <c r="M43" i="4"/>
  <c r="M46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70" i="4"/>
  <c r="M73" i="4"/>
  <c r="M74" i="4"/>
  <c r="M79" i="4"/>
  <c r="M80" i="4"/>
  <c r="M81" i="4"/>
  <c r="M82" i="4"/>
  <c r="M83" i="4"/>
  <c r="M84" i="4"/>
  <c r="M85" i="4"/>
  <c r="M86" i="4"/>
  <c r="M87" i="4"/>
  <c r="M89" i="4"/>
  <c r="M90" i="4"/>
  <c r="M97" i="4"/>
  <c r="W4" i="4"/>
  <c r="W5" i="4"/>
  <c r="I45" i="4"/>
  <c r="I78" i="4"/>
  <c r="I77" i="4"/>
  <c r="I76" i="4"/>
  <c r="I75" i="4"/>
  <c r="I74" i="4"/>
  <c r="I73" i="4"/>
  <c r="I72" i="4"/>
  <c r="I49" i="4"/>
  <c r="I98" i="4"/>
  <c r="I92" i="4"/>
  <c r="I97" i="4"/>
  <c r="I91" i="4"/>
  <c r="I90" i="4"/>
  <c r="I89" i="4"/>
  <c r="I85" i="4"/>
  <c r="I25" i="4"/>
  <c r="I88" i="4"/>
  <c r="I60" i="4"/>
  <c r="I96" i="4"/>
  <c r="I95" i="4"/>
  <c r="I94" i="4"/>
  <c r="I93" i="4"/>
  <c r="I69" i="4"/>
  <c r="U187" i="3"/>
  <c r="U188" i="3"/>
  <c r="U189" i="3"/>
  <c r="H189" i="3"/>
  <c r="H188" i="3"/>
  <c r="H187" i="3"/>
  <c r="T186" i="3"/>
  <c r="U186" i="3" s="1"/>
  <c r="H186" i="3"/>
  <c r="T179" i="3"/>
  <c r="U179" i="3" s="1"/>
  <c r="T180" i="3"/>
  <c r="U180" i="3" s="1"/>
  <c r="T181" i="3"/>
  <c r="U181" i="3" s="1"/>
  <c r="T182" i="3"/>
  <c r="U182" i="3" s="1"/>
  <c r="T183" i="3"/>
  <c r="U183" i="3" s="1"/>
  <c r="T184" i="3"/>
  <c r="U184" i="3" s="1"/>
  <c r="T185" i="3"/>
  <c r="U185" i="3" s="1"/>
  <c r="H185" i="3"/>
  <c r="H184" i="3"/>
  <c r="H183" i="3"/>
  <c r="H182" i="3"/>
  <c r="H181" i="3"/>
  <c r="H180" i="3"/>
  <c r="H179" i="3"/>
  <c r="W3" i="4" l="1"/>
  <c r="V3" i="4" s="1"/>
  <c r="F182" i="3"/>
  <c r="F183" i="3"/>
  <c r="F184" i="3"/>
  <c r="F185" i="3"/>
  <c r="F179" i="3"/>
  <c r="T5" i="3"/>
  <c r="U5" i="3" s="1"/>
  <c r="T6" i="3"/>
  <c r="U6" i="3" s="1"/>
  <c r="T7" i="3"/>
  <c r="U7" i="3" s="1"/>
  <c r="T8" i="3"/>
  <c r="U8" i="3" s="1"/>
  <c r="T9" i="3"/>
  <c r="U9" i="3" s="1"/>
  <c r="T10" i="3"/>
  <c r="U10" i="3" s="1"/>
  <c r="T11" i="3"/>
  <c r="U11" i="3" s="1"/>
  <c r="T12" i="3"/>
  <c r="U12" i="3" s="1"/>
  <c r="T13" i="3"/>
  <c r="U13" i="3" s="1"/>
  <c r="T14" i="3"/>
  <c r="U14" i="3" s="1"/>
  <c r="T15" i="3"/>
  <c r="U15" i="3" s="1"/>
  <c r="T16" i="3"/>
  <c r="U16" i="3" s="1"/>
  <c r="T17" i="3"/>
  <c r="U17" i="3" s="1"/>
  <c r="T18" i="3"/>
  <c r="U18" i="3" s="1"/>
  <c r="T19" i="3"/>
  <c r="U19" i="3" s="1"/>
  <c r="T20" i="3"/>
  <c r="U20" i="3" s="1"/>
  <c r="T21" i="3"/>
  <c r="U21" i="3" s="1"/>
  <c r="T22" i="3"/>
  <c r="U22" i="3" s="1"/>
  <c r="T23" i="3"/>
  <c r="U23" i="3" s="1"/>
  <c r="T24" i="3"/>
  <c r="U24" i="3" s="1"/>
  <c r="T25" i="3"/>
  <c r="U25" i="3" s="1"/>
  <c r="T26" i="3"/>
  <c r="U26" i="3" s="1"/>
  <c r="T27" i="3"/>
  <c r="U27" i="3" s="1"/>
  <c r="T28" i="3"/>
  <c r="U28" i="3" s="1"/>
  <c r="T29" i="3"/>
  <c r="U29" i="3" s="1"/>
  <c r="T30" i="3"/>
  <c r="U30" i="3" s="1"/>
  <c r="T31" i="3"/>
  <c r="U31" i="3" s="1"/>
  <c r="T32" i="3"/>
  <c r="U32" i="3" s="1"/>
  <c r="T33" i="3"/>
  <c r="U33" i="3" s="1"/>
  <c r="T34" i="3"/>
  <c r="U34" i="3" s="1"/>
  <c r="T35" i="3"/>
  <c r="U35" i="3" s="1"/>
  <c r="T36" i="3"/>
  <c r="U36" i="3" s="1"/>
  <c r="T37" i="3"/>
  <c r="U37" i="3" s="1"/>
  <c r="T38" i="3"/>
  <c r="U38" i="3" s="1"/>
  <c r="T39" i="3"/>
  <c r="U39" i="3" s="1"/>
  <c r="T40" i="3"/>
  <c r="U40" i="3" s="1"/>
  <c r="T41" i="3"/>
  <c r="U41" i="3" s="1"/>
  <c r="T42" i="3"/>
  <c r="U42" i="3" s="1"/>
  <c r="T43" i="3"/>
  <c r="U43" i="3" s="1"/>
  <c r="T44" i="3"/>
  <c r="U44" i="3" s="1"/>
  <c r="T45" i="3"/>
  <c r="U45" i="3" s="1"/>
  <c r="T46" i="3"/>
  <c r="U46" i="3" s="1"/>
  <c r="T47" i="3"/>
  <c r="U47" i="3" s="1"/>
  <c r="T48" i="3"/>
  <c r="U48" i="3" s="1"/>
  <c r="T49" i="3"/>
  <c r="U49" i="3" s="1"/>
  <c r="T50" i="3"/>
  <c r="U50" i="3" s="1"/>
  <c r="T51" i="3"/>
  <c r="U51" i="3" s="1"/>
  <c r="T52" i="3"/>
  <c r="U52" i="3" s="1"/>
  <c r="T53" i="3"/>
  <c r="U53" i="3" s="1"/>
  <c r="T54" i="3"/>
  <c r="U54" i="3" s="1"/>
  <c r="T55" i="3"/>
  <c r="U55" i="3" s="1"/>
  <c r="T56" i="3"/>
  <c r="U56" i="3" s="1"/>
  <c r="T57" i="3"/>
  <c r="U57" i="3" s="1"/>
  <c r="T58" i="3"/>
  <c r="U58" i="3" s="1"/>
  <c r="T59" i="3"/>
  <c r="U59" i="3" s="1"/>
  <c r="T60" i="3"/>
  <c r="U60" i="3" s="1"/>
  <c r="T61" i="3"/>
  <c r="U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U67" i="3" s="1"/>
  <c r="T68" i="3"/>
  <c r="U68" i="3" s="1"/>
  <c r="T69" i="3"/>
  <c r="U69" i="3" s="1"/>
  <c r="T70" i="3"/>
  <c r="U70" i="3" s="1"/>
  <c r="T71" i="3"/>
  <c r="U71" i="3" s="1"/>
  <c r="T72" i="3"/>
  <c r="U72" i="3" s="1"/>
  <c r="T73" i="3"/>
  <c r="U73" i="3" s="1"/>
  <c r="T74" i="3"/>
  <c r="U74" i="3" s="1"/>
  <c r="T75" i="3"/>
  <c r="U75" i="3" s="1"/>
  <c r="T76" i="3"/>
  <c r="U76" i="3" s="1"/>
  <c r="T77" i="3"/>
  <c r="U77" i="3" s="1"/>
  <c r="T78" i="3"/>
  <c r="U78" i="3" s="1"/>
  <c r="T79" i="3"/>
  <c r="U79" i="3" s="1"/>
  <c r="T80" i="3"/>
  <c r="U80" i="3" s="1"/>
  <c r="T81" i="3"/>
  <c r="U81" i="3" s="1"/>
  <c r="T82" i="3"/>
  <c r="U82" i="3" s="1"/>
  <c r="T83" i="3"/>
  <c r="U83" i="3" s="1"/>
  <c r="T84" i="3"/>
  <c r="U84" i="3" s="1"/>
  <c r="T85" i="3"/>
  <c r="U85" i="3" s="1"/>
  <c r="T86" i="3"/>
  <c r="U86" i="3" s="1"/>
  <c r="T87" i="3"/>
  <c r="U87" i="3" s="1"/>
  <c r="T88" i="3"/>
  <c r="U88" i="3" s="1"/>
  <c r="T89" i="3"/>
  <c r="U89" i="3" s="1"/>
  <c r="T90" i="3"/>
  <c r="U90" i="3" s="1"/>
  <c r="T91" i="3"/>
  <c r="U91" i="3" s="1"/>
  <c r="T92" i="3"/>
  <c r="U92" i="3" s="1"/>
  <c r="T93" i="3"/>
  <c r="U93" i="3" s="1"/>
  <c r="T94" i="3"/>
  <c r="U94" i="3" s="1"/>
  <c r="T95" i="3"/>
  <c r="U95" i="3" s="1"/>
  <c r="T96" i="3"/>
  <c r="U96" i="3" s="1"/>
  <c r="T97" i="3"/>
  <c r="U97" i="3" s="1"/>
  <c r="T98" i="3"/>
  <c r="U98" i="3" s="1"/>
  <c r="T99" i="3"/>
  <c r="U99" i="3" s="1"/>
  <c r="T100" i="3"/>
  <c r="U100" i="3" s="1"/>
  <c r="T101" i="3"/>
  <c r="U101" i="3" s="1"/>
  <c r="T102" i="3"/>
  <c r="U102" i="3" s="1"/>
  <c r="T103" i="3"/>
  <c r="U103" i="3" s="1"/>
  <c r="T104" i="3"/>
  <c r="U104" i="3" s="1"/>
  <c r="T105" i="3"/>
  <c r="U105" i="3" s="1"/>
  <c r="T106" i="3"/>
  <c r="U106" i="3" s="1"/>
  <c r="T107" i="3"/>
  <c r="U107" i="3" s="1"/>
  <c r="T108" i="3"/>
  <c r="U108" i="3" s="1"/>
  <c r="T109" i="3"/>
  <c r="U109" i="3" s="1"/>
  <c r="T110" i="3"/>
  <c r="U110" i="3" s="1"/>
  <c r="T111" i="3"/>
  <c r="U111" i="3" s="1"/>
  <c r="T112" i="3"/>
  <c r="U112" i="3" s="1"/>
  <c r="T113" i="3"/>
  <c r="U113" i="3" s="1"/>
  <c r="T114" i="3"/>
  <c r="U114" i="3" s="1"/>
  <c r="T115" i="3"/>
  <c r="U115" i="3" s="1"/>
  <c r="T116" i="3"/>
  <c r="U116" i="3" s="1"/>
  <c r="T117" i="3"/>
  <c r="U117" i="3" s="1"/>
  <c r="T118" i="3"/>
  <c r="U118" i="3" s="1"/>
  <c r="T119" i="3"/>
  <c r="U119" i="3" s="1"/>
  <c r="T120" i="3"/>
  <c r="U120" i="3" s="1"/>
  <c r="T121" i="3"/>
  <c r="U121" i="3" s="1"/>
  <c r="T122" i="3"/>
  <c r="U122" i="3" s="1"/>
  <c r="T123" i="3"/>
  <c r="U123" i="3" s="1"/>
  <c r="T124" i="3"/>
  <c r="U124" i="3" s="1"/>
  <c r="T125" i="3"/>
  <c r="U125" i="3" s="1"/>
  <c r="T126" i="3"/>
  <c r="U126" i="3" s="1"/>
  <c r="T127" i="3"/>
  <c r="U127" i="3" s="1"/>
  <c r="T128" i="3"/>
  <c r="U128" i="3" s="1"/>
  <c r="T129" i="3"/>
  <c r="U129" i="3" s="1"/>
  <c r="T130" i="3"/>
  <c r="U130" i="3" s="1"/>
  <c r="T131" i="3"/>
  <c r="U131" i="3" s="1"/>
  <c r="T132" i="3"/>
  <c r="U132" i="3" s="1"/>
  <c r="T133" i="3"/>
  <c r="U133" i="3" s="1"/>
  <c r="T134" i="3"/>
  <c r="U134" i="3" s="1"/>
  <c r="T135" i="3"/>
  <c r="U135" i="3" s="1"/>
  <c r="T136" i="3"/>
  <c r="U136" i="3" s="1"/>
  <c r="T137" i="3"/>
  <c r="U137" i="3" s="1"/>
  <c r="T138" i="3"/>
  <c r="U138" i="3" s="1"/>
  <c r="T139" i="3"/>
  <c r="U139" i="3" s="1"/>
  <c r="T140" i="3"/>
  <c r="U140" i="3" s="1"/>
  <c r="T141" i="3"/>
  <c r="U141" i="3" s="1"/>
  <c r="T142" i="3"/>
  <c r="U142" i="3" s="1"/>
  <c r="T143" i="3"/>
  <c r="U143" i="3" s="1"/>
  <c r="T144" i="3"/>
  <c r="U144" i="3" s="1"/>
  <c r="T145" i="3"/>
  <c r="U145" i="3" s="1"/>
  <c r="T146" i="3"/>
  <c r="U146" i="3" s="1"/>
  <c r="T147" i="3"/>
  <c r="U147" i="3" s="1"/>
  <c r="T148" i="3"/>
  <c r="U148" i="3" s="1"/>
  <c r="T149" i="3"/>
  <c r="U149" i="3" s="1"/>
  <c r="T150" i="3"/>
  <c r="U150" i="3" s="1"/>
  <c r="T151" i="3"/>
  <c r="U151" i="3" s="1"/>
  <c r="T152" i="3"/>
  <c r="U152" i="3" s="1"/>
  <c r="T153" i="3"/>
  <c r="U153" i="3" s="1"/>
  <c r="T154" i="3"/>
  <c r="U154" i="3" s="1"/>
  <c r="T155" i="3"/>
  <c r="U155" i="3" s="1"/>
  <c r="T156" i="3"/>
  <c r="U156" i="3" s="1"/>
  <c r="T157" i="3"/>
  <c r="U157" i="3" s="1"/>
  <c r="T158" i="3"/>
  <c r="U158" i="3" s="1"/>
  <c r="T159" i="3"/>
  <c r="U159" i="3" s="1"/>
  <c r="T160" i="3"/>
  <c r="U160" i="3" s="1"/>
  <c r="T161" i="3"/>
  <c r="U161" i="3" s="1"/>
  <c r="T162" i="3"/>
  <c r="U162" i="3" s="1"/>
  <c r="T163" i="3"/>
  <c r="U163" i="3" s="1"/>
  <c r="T164" i="3"/>
  <c r="U164" i="3" s="1"/>
  <c r="T165" i="3"/>
  <c r="U165" i="3" s="1"/>
  <c r="T166" i="3"/>
  <c r="U166" i="3" s="1"/>
  <c r="T167" i="3"/>
  <c r="U167" i="3" s="1"/>
  <c r="T168" i="3"/>
  <c r="U168" i="3" s="1"/>
  <c r="T169" i="3"/>
  <c r="U169" i="3" s="1"/>
  <c r="T170" i="3"/>
  <c r="U170" i="3" s="1"/>
  <c r="T171" i="3"/>
  <c r="U171" i="3" s="1"/>
  <c r="T172" i="3"/>
  <c r="U172" i="3" s="1"/>
  <c r="T173" i="3"/>
  <c r="U173" i="3" s="1"/>
  <c r="T174" i="3"/>
  <c r="U174" i="3" s="1"/>
  <c r="T175" i="3"/>
  <c r="U175" i="3" s="1"/>
  <c r="T176" i="3"/>
  <c r="U176" i="3" s="1"/>
  <c r="T177" i="3"/>
  <c r="U177" i="3" s="1"/>
  <c r="T178" i="3"/>
  <c r="U178" i="3" s="1"/>
  <c r="T4" i="3"/>
  <c r="U4" i="3" s="1"/>
  <c r="H178" i="3"/>
  <c r="U2" i="3" l="1"/>
  <c r="T2" i="3"/>
  <c r="P51" i="3" l="1"/>
  <c r="P52" i="3"/>
  <c r="P53" i="3"/>
  <c r="P54" i="3"/>
  <c r="P55" i="3"/>
  <c r="P50" i="3"/>
  <c r="P171" i="3"/>
  <c r="P168" i="3"/>
  <c r="P174" i="3"/>
  <c r="P173" i="3"/>
  <c r="P170" i="3"/>
  <c r="S2" i="3"/>
  <c r="Q2" i="3"/>
  <c r="R2" i="3"/>
  <c r="H169" i="3"/>
  <c r="H170" i="3"/>
  <c r="H171" i="3"/>
  <c r="H172" i="3"/>
  <c r="H173" i="3"/>
  <c r="H174" i="3"/>
  <c r="H175" i="3"/>
  <c r="H176" i="3"/>
  <c r="H177" i="3"/>
  <c r="H168" i="3"/>
  <c r="H167" i="3"/>
  <c r="H164" i="3"/>
  <c r="H161" i="3"/>
  <c r="H160" i="3"/>
  <c r="H157" i="3"/>
  <c r="H154" i="3"/>
  <c r="H153" i="3"/>
  <c r="H152" i="3"/>
  <c r="H151" i="3"/>
  <c r="H150" i="3"/>
  <c r="H148" i="3"/>
  <c r="H146" i="3"/>
  <c r="H145" i="3"/>
  <c r="H138" i="3"/>
  <c r="H135" i="3"/>
  <c r="H131" i="3"/>
  <c r="H127" i="3"/>
  <c r="H125" i="3"/>
  <c r="H118" i="3"/>
  <c r="H112" i="3"/>
  <c r="H109" i="3"/>
  <c r="H107" i="3"/>
  <c r="H104" i="3"/>
  <c r="H103" i="3"/>
  <c r="H97" i="3"/>
  <c r="H94" i="3"/>
  <c r="H87" i="3"/>
  <c r="H86" i="3"/>
  <c r="H79" i="3"/>
  <c r="H78" i="3"/>
  <c r="H77" i="3"/>
  <c r="H76" i="3"/>
  <c r="H75" i="3"/>
  <c r="H74" i="3"/>
  <c r="H73" i="3"/>
  <c r="H66" i="3"/>
  <c r="H62" i="3"/>
  <c r="H56" i="3"/>
  <c r="H48" i="3"/>
  <c r="H47" i="3"/>
  <c r="H45" i="3"/>
  <c r="H41" i="3"/>
  <c r="H39" i="3"/>
  <c r="H36" i="3"/>
  <c r="H17" i="3"/>
  <c r="J2" i="3" l="1"/>
  <c r="P2" i="3"/>
  <c r="O2" i="3"/>
  <c r="M2" i="3" l="1"/>
  <c r="N2" i="3"/>
  <c r="K2" i="3"/>
  <c r="L2" i="3"/>
</calcChain>
</file>

<file path=xl/sharedStrings.xml><?xml version="1.0" encoding="utf-8"?>
<sst xmlns="http://schemas.openxmlformats.org/spreadsheetml/2006/main" count="1890" uniqueCount="495">
  <si>
    <t xml:space="preserve"> </t>
  </si>
  <si>
    <t>CODE</t>
  </si>
  <si>
    <t>BRAND</t>
  </si>
  <si>
    <t>HEAD</t>
  </si>
  <si>
    <t>CATEGORY</t>
  </si>
  <si>
    <t>SUB-CATEGORY</t>
  </si>
  <si>
    <t>SKU</t>
  </si>
  <si>
    <t>PER LTRS</t>
  </si>
  <si>
    <t>LTRS/BOX</t>
  </si>
  <si>
    <t>CASE PACK</t>
  </si>
  <si>
    <t>AUG MONTHLY PLANNING</t>
  </si>
  <si>
    <t xml:space="preserve">AUG 2ND WEEK </t>
  </si>
  <si>
    <t xml:space="preserve">AUG 3RD WEEK </t>
  </si>
  <si>
    <t xml:space="preserve">AUG 4TH WEEK </t>
  </si>
  <si>
    <t>FG0000228</t>
  </si>
  <si>
    <t>SO OLIVE</t>
  </si>
  <si>
    <t>OTHER PREMIUM</t>
  </si>
  <si>
    <t>BLENDED</t>
  </si>
  <si>
    <t xml:space="preserve">SO OLIVE </t>
  </si>
  <si>
    <t>SO OLIVE OIL 1 LTR 16 PCS</t>
  </si>
  <si>
    <t>FG0000186</t>
  </si>
  <si>
    <t>BB ROYAL</t>
  </si>
  <si>
    <t>PREMIUM</t>
  </si>
  <si>
    <t>BB ROYAL BLENDED OIL OLIVE + RICE BRAN 5 LTR 4 PCS</t>
  </si>
  <si>
    <t>FG0000185</t>
  </si>
  <si>
    <t>BB ROYAL BLENDED OIL OLIVE + RICE BRAN 1 LTR 20 PCS</t>
  </si>
  <si>
    <t>FG0000375</t>
  </si>
  <si>
    <t>SO OLIVE OIL 5 LTR 4 PCS</t>
  </si>
  <si>
    <t>FG0000004</t>
  </si>
  <si>
    <t>JIVO</t>
  </si>
  <si>
    <t>CANOLA</t>
  </si>
  <si>
    <t>JIVO CANOLA</t>
  </si>
  <si>
    <t>COLD PRESS 5 LTR 4 PCS</t>
  </si>
  <si>
    <t>FG0000407</t>
  </si>
  <si>
    <t>COLD PRESS 1 LTR 20 PCS (NIRMAL RISHI)</t>
  </si>
  <si>
    <t>FG0000032</t>
  </si>
  <si>
    <t xml:space="preserve">COLD PRESS 1 LTR 20 PCS </t>
  </si>
  <si>
    <t>FG0000406</t>
  </si>
  <si>
    <t>COLD PRESS 1 LTR + 1 LTR COMBO 10 SET (NIRMAL RISHI)</t>
  </si>
  <si>
    <t>FG0000033</t>
  </si>
  <si>
    <t xml:space="preserve">COLD PRESS 1 LTR + 1 LTR COMBO 10 SET </t>
  </si>
  <si>
    <t>FG0000405</t>
  </si>
  <si>
    <t>COLD PRESS 4 LTR + POMACE OLIVE 1 LTR 5 PCS ( NIRMAL RISHI)</t>
  </si>
  <si>
    <t>FG0000023</t>
  </si>
  <si>
    <t>COLD PRESS 5 LTR + EXTRA LIGHT OLIVE 1 LTR 3 PCS SHRINKED</t>
  </si>
  <si>
    <t>FG0000404</t>
  </si>
  <si>
    <t>COLD PRESS 4 LTR + EXTRA LIGHT OLIVE 1 LTR 5 PCS (NIRMAL RISHI</t>
  </si>
  <si>
    <t>FG0000015</t>
  </si>
  <si>
    <t>REFINED OIL 15 LTR</t>
  </si>
  <si>
    <t>FG0000145</t>
  </si>
  <si>
    <t>COLD PRESS 5 LTR + POMACE OLIVE 1 LTR 4 PCS</t>
  </si>
  <si>
    <t>FG0000414</t>
  </si>
  <si>
    <t>COLD PRESS 5 LTR + POMACE OLIVE 1 LTR 4 PCS (NIRMAL RISHI</t>
  </si>
  <si>
    <t>FG0000003</t>
  </si>
  <si>
    <t>COLD PRESS 5 LTR + EXTRA LIGHT OLIVE 1 LTR 4 PCS</t>
  </si>
  <si>
    <t>FG0000146</t>
  </si>
  <si>
    <t>COLD PRESS 5 LTR + POMACE OLIVE 1 LTR 3 PCS SHRINKED</t>
  </si>
  <si>
    <t>FG0000021</t>
  </si>
  <si>
    <t>REFINED OIL 1 LTR POUCH 12 PCS (MULTI PACK)</t>
  </si>
  <si>
    <t>FG0000088</t>
  </si>
  <si>
    <t>COLD PRESS 1 LTR +1 LTR COMBO 10 SET PLAIN</t>
  </si>
  <si>
    <t>FG0000070</t>
  </si>
  <si>
    <t>COLD PRESS 2 LTR 10 PCS HANDLE</t>
  </si>
  <si>
    <t>FG0000362</t>
  </si>
  <si>
    <t>LA RASOI</t>
  </si>
  <si>
    <t>LA RASOI CANOLA</t>
  </si>
  <si>
    <t> LA RASOI COLD PRESSED CANOLA OIL 2 LTR 10 PCS HANDLE</t>
  </si>
  <si>
    <t>FG0000018</t>
  </si>
  <si>
    <t>COLD PRESS 5 LTR + COLD PRESS 1 LTR 3 PCS SHRINKED</t>
  </si>
  <si>
    <t>FG0000184</t>
  </si>
  <si>
    <t>BB ROYAL CANOLA OIL 5 LTR 4 PCS</t>
  </si>
  <si>
    <t>FG0000183</t>
  </si>
  <si>
    <t>BB ROYAL CANOLA OIL 1 LTR 20 PCS</t>
  </si>
  <si>
    <t>FG0000131</t>
  </si>
  <si>
    <t>COLD PRESS 5 LTR + EXTRA LIGHT OLIVE 1 LTR 3 PCS SHRINKED PLAIN</t>
  </si>
  <si>
    <t>FG0000373</t>
  </si>
  <si>
    <t>COLD PRESS 3 LTR TIN 6 PCS</t>
  </si>
  <si>
    <t>FG0000270</t>
  </si>
  <si>
    <t>SANO</t>
  </si>
  <si>
    <t>SANO CANOLA</t>
  </si>
  <si>
    <t>SANO CANOLA 3 LTR 6 PCS</t>
  </si>
  <si>
    <t>FG0000134</t>
  </si>
  <si>
    <t>SANO CANOLA OIL 1 LTR 20 PCS</t>
  </si>
  <si>
    <t>FG0000135</t>
  </si>
  <si>
    <t>SANO CANOLA OIL 5 LTR 4 PCS</t>
  </si>
  <si>
    <t>FG0000002</t>
  </si>
  <si>
    <t>COLD PRESS 5 LTR + COLD PRESS 1 LTR 4 PCS</t>
  </si>
  <si>
    <t>FG0000160</t>
  </si>
  <si>
    <t>COLD PRESS 4 LTR 5 PCS</t>
  </si>
  <si>
    <t>FG0000035</t>
  </si>
  <si>
    <t>COLD PRESS 500 MLS 24 PCS</t>
  </si>
  <si>
    <t>FG0000069</t>
  </si>
  <si>
    <t>COLD PRESS 5 LTR + COLD PRESS 1 LTR 3 PCS SHRINKED PLAIN</t>
  </si>
  <si>
    <t>FG0000175</t>
  </si>
  <si>
    <t>COLD PRESS 1 LTR +1 LTR COMBO 12 SET</t>
  </si>
  <si>
    <t>FG0000048</t>
  </si>
  <si>
    <t>COLD PRESS 100 MLS 24 PCS</t>
  </si>
  <si>
    <t>FG0000153</t>
  </si>
  <si>
    <t>COLD PRESS 5 LTR + SANO EXTRA LIGHT OLIVE 1 LTR 4 PCS</t>
  </si>
  <si>
    <t>FG0000383</t>
  </si>
  <si>
    <t>REFINED OIL 13 KG</t>
  </si>
  <si>
    <t>FG0000152</t>
  </si>
  <si>
    <t>CLASSIC</t>
  </si>
  <si>
    <t>SANO CLASSIC</t>
  </si>
  <si>
    <t>SANO OLIVE CLASSIC 5 LTR TIN 4 PCS</t>
  </si>
  <si>
    <t>FG0000162</t>
  </si>
  <si>
    <t>SANO OLIVE CLASSIC 1 LTR 16 PCS</t>
  </si>
  <si>
    <t>FG0000116</t>
  </si>
  <si>
    <t>COCONUT</t>
  </si>
  <si>
    <t>EV COCONUT</t>
  </si>
  <si>
    <t>EXTRA VIRGIN COCONUT OIL 1 LTR 16 PCS</t>
  </si>
  <si>
    <t>FG0000157</t>
  </si>
  <si>
    <t>EXTRA VIRGIN COCONUT OIL 500 MLS 24 PCS</t>
  </si>
  <si>
    <t>FG0000353</t>
  </si>
  <si>
    <t>EXTRA VIRGIN COCONUT OIL 15 LTR</t>
  </si>
  <si>
    <t>FG0000158</t>
  </si>
  <si>
    <t>COMMODITY</t>
  </si>
  <si>
    <t>COTTONSEED</t>
  </si>
  <si>
    <t>REFINED COTTON SEED OIL 15 LTR</t>
  </si>
  <si>
    <t>FG0000169</t>
  </si>
  <si>
    <t>REFINED COTTON SEED OIL 13 KGS</t>
  </si>
  <si>
    <t>FG0000168</t>
  </si>
  <si>
    <t>REFINED COTTON SEED OIL 15 KGS</t>
  </si>
  <si>
    <t>FG0000013</t>
  </si>
  <si>
    <t>CSD</t>
  </si>
  <si>
    <t>REFINED OIL 1000 MLS</t>
  </si>
  <si>
    <t>FG0000016</t>
  </si>
  <si>
    <t>REFINED OIL 2 LTR</t>
  </si>
  <si>
    <t>FG0000020</t>
  </si>
  <si>
    <t>REFINED OIL 5 LTR</t>
  </si>
  <si>
    <t>FG0000154</t>
  </si>
  <si>
    <t>JIVO MUSTARD</t>
  </si>
  <si>
    <t>MUSTARD OIL 100 MLS 20 PCS</t>
  </si>
  <si>
    <t>FG0000105</t>
  </si>
  <si>
    <t>EXTRA LIGHT</t>
  </si>
  <si>
    <t>EXTRA LIGHT OLIVE 250 MLS 4 PCS</t>
  </si>
  <si>
    <t>FG0000104</t>
  </si>
  <si>
    <t>EXTRA LIGHT OLIVE 100 MLS 10 PCS</t>
  </si>
  <si>
    <t>FG0000384</t>
  </si>
  <si>
    <t>EV</t>
  </si>
  <si>
    <t>SANO EXTRA VIRGIN</t>
  </si>
  <si>
    <t>SANO EXTRA VIRGIN 1 LTR 16 PCS</t>
  </si>
  <si>
    <t>FG0000005</t>
  </si>
  <si>
    <t>JIVO EL</t>
  </si>
  <si>
    <t>EXTRA LIGHT OLIVE 1 LTR 16 PCS</t>
  </si>
  <si>
    <t>FG0000009</t>
  </si>
  <si>
    <t>EXTRA LIGHT OLIVE 5 LTR TIN 4 PCS</t>
  </si>
  <si>
    <t>FG0000034</t>
  </si>
  <si>
    <t>EXTRA LIGHT OLIVE 200 LTR 1 PCS</t>
  </si>
  <si>
    <t>FG0000064</t>
  </si>
  <si>
    <t>EXTRA LIGHT OIVE 2 LTR 10 PCS HANDLE</t>
  </si>
  <si>
    <t>FG0000370</t>
  </si>
  <si>
    <t>EXTRA LIGHT OLIVE 3 LTR TIN 6 PCS</t>
  </si>
  <si>
    <t>FG0000039</t>
  </si>
  <si>
    <t>EXTRA LIGHT OLIVE 500 MLS 24 PCS</t>
  </si>
  <si>
    <t>FG0000147</t>
  </si>
  <si>
    <t>SANO EL</t>
  </si>
  <si>
    <t>SANO EXTRA LIGHT OLIVE 1 LTR 16 PCS</t>
  </si>
  <si>
    <t>FG0000042</t>
  </si>
  <si>
    <t>EXTRA VIRGIN</t>
  </si>
  <si>
    <t>EXTRA VIRGIN OLIVE 1 LTR 16 PCS</t>
  </si>
  <si>
    <t>FG0000074</t>
  </si>
  <si>
    <t>EXTRA VIRGIN OLIVE 5 LTR TIN 4 PCS IMPORTED</t>
  </si>
  <si>
    <t>FG0000112</t>
  </si>
  <si>
    <t>EXTRA VIRGIN OLIVE 250 MLS 4 PCS</t>
  </si>
  <si>
    <t>SANO EXTRA VIRGIN OLIVE 1 LTR 16 PCS</t>
  </si>
  <si>
    <t>FG0000371</t>
  </si>
  <si>
    <t>EXTRA VIRGIN OLIVE 3 LTR TIN 6 PCS</t>
  </si>
  <si>
    <t>FG0000377</t>
  </si>
  <si>
    <t>ILAHI</t>
  </si>
  <si>
    <t>ILAHI EXTRA VIRGIN</t>
  </si>
  <si>
    <t>ILAHI EXTRA VIRGIN OLIVE 1 LTR 12 PCS</t>
  </si>
  <si>
    <t>FG0000323</t>
  </si>
  <si>
    <t>LE CHEF</t>
  </si>
  <si>
    <t>LECHEF EXTRA VIRGIN</t>
  </si>
  <si>
    <t>LE CHEF EXTRA VIRGIN  1 LTR 16 PCS</t>
  </si>
  <si>
    <t>FG0000187</t>
  </si>
  <si>
    <t>ZANO</t>
  </si>
  <si>
    <t>ZANO EXTRA VIRGIN</t>
  </si>
  <si>
    <t>ZANO EXTRA VIRGIN OLIVE1 LTR 16 PCS</t>
  </si>
  <si>
    <t>FG0000155</t>
  </si>
  <si>
    <t>EXTRA VIRGIN 2 LTR 10 PCS HANDLE</t>
  </si>
  <si>
    <t>FG0000161</t>
  </si>
  <si>
    <t>EXTRA VIRGIN OLIVE 500 MLS 24 PCS</t>
  </si>
  <si>
    <t>FG0000164</t>
  </si>
  <si>
    <t>EXTRA VIRGIN OLIVE 200 MLS 36 PCS</t>
  </si>
  <si>
    <t>FG0000041</t>
  </si>
  <si>
    <t>EXTRA VIRGIN OLIVE GLASS BOTTLE 500 MLS 12 PCS</t>
  </si>
  <si>
    <t>FG0000381</t>
  </si>
  <si>
    <t>EXTRA VIRGIN OLIVE OIL 10ML</t>
  </si>
  <si>
    <t>FG0000385</t>
  </si>
  <si>
    <t>EXTRA VIRGIN PREMIUM OLIVE 1 LTR 12PCS </t>
  </si>
  <si>
    <t>FG0000319</t>
  </si>
  <si>
    <t>KIRPA</t>
  </si>
  <si>
    <t>GHEE</t>
  </si>
  <si>
    <t>KIRPA DESI GHEE 500 MLS 16 PCS</t>
  </si>
  <si>
    <t>FG0000318</t>
  </si>
  <si>
    <t>KIRPA DESI GHEE 1 LTR 12 PCS</t>
  </si>
  <si>
    <t>FG0000364</t>
  </si>
  <si>
    <t>LA RASOI GHEE</t>
  </si>
  <si>
    <t>LA RASOI DESI GHEE A2 1 LTR 9 PCS</t>
  </si>
  <si>
    <t>FG0000149</t>
  </si>
  <si>
    <t>GOLD</t>
  </si>
  <si>
    <t>JIVO GOLD</t>
  </si>
  <si>
    <t>JIVO GOLD 1 LTR 20 PCS</t>
  </si>
  <si>
    <t>FG0000128</t>
  </si>
  <si>
    <t>JIVO GOLD 5 LTR 4 PCS</t>
  </si>
  <si>
    <t>FG0000142</t>
  </si>
  <si>
    <t>GROUNDNUT</t>
  </si>
  <si>
    <t>JIVO GROUNDNUT</t>
  </si>
  <si>
    <t>COLD PRESS GROUNDNUT OIL 1 LTR 16 PCS</t>
  </si>
  <si>
    <t>FG0000143</t>
  </si>
  <si>
    <t>COLD PRESS GROUNDNUT OIL 5 LTR 4 PCS</t>
  </si>
  <si>
    <t>FG0000392</t>
  </si>
  <si>
    <t>COLD PRESS GROUNDNUT OIL 1 LTR 16 PCS + JEERA 100 GMS SHRINKED</t>
  </si>
  <si>
    <t>FG0000331</t>
  </si>
  <si>
    <t>VEDAKA</t>
  </si>
  <si>
    <t>VEDAKA PEANUT</t>
  </si>
  <si>
    <t>VEDAKA WOOD PRESSED PEANUT OIL 1 LTR 16 PCS</t>
  </si>
  <si>
    <t>FG0000334</t>
  </si>
  <si>
    <t>VEDAKA WOOD PRESSED PEANUT OIL 5 LTR 4 PCS</t>
  </si>
  <si>
    <t>FG0000390</t>
  </si>
  <si>
    <t>COLD PRESS GROUNDNUT OIL 200 MLS 36 PCS</t>
  </si>
  <si>
    <t>FG0000305</t>
  </si>
  <si>
    <t>JAITUN</t>
  </si>
  <si>
    <t>JIVO JAITUN</t>
  </si>
  <si>
    <t>JAITOON OIL 5 LTR 4 PCS</t>
  </si>
  <si>
    <t>FG0000379</t>
  </si>
  <si>
    <t>MUSTARD</t>
  </si>
  <si>
    <t>MUSTARD KACHI GHANI 1 LTR 20 PCS ROUND BOTTLE</t>
  </si>
  <si>
    <t>FG0000011</t>
  </si>
  <si>
    <t>MUSTARD KACCHI GHANI 5 LTR 4 PCS</t>
  </si>
  <si>
    <t>FG0000106</t>
  </si>
  <si>
    <t>MUSTARD KACHHI GHANI 1 LTR POUCH 12 PCS</t>
  </si>
  <si>
    <t>FG0000030</t>
  </si>
  <si>
    <t>MUSTARD KACHI GHANI 1 LTR 20 PCS</t>
  </si>
  <si>
    <t>FG0000178</t>
  </si>
  <si>
    <t>MUSTARD KACHI GHANI 15 KGS(PRINTED)</t>
  </si>
  <si>
    <t>FG0000031</t>
  </si>
  <si>
    <t>MUSTARD PK</t>
  </si>
  <si>
    <t>MUSTARD PAKKI GHANI 1 LTR 20 PCS</t>
  </si>
  <si>
    <t>FG0000422</t>
  </si>
  <si>
    <t>JIVO MUSTARD KACCHI GHANI 869 GMS 20 PCS</t>
  </si>
  <si>
    <t>FG0000026</t>
  </si>
  <si>
    <t>MUSTARD KACCHI GHANI 15 LTR</t>
  </si>
  <si>
    <t>FG0000012</t>
  </si>
  <si>
    <t>MUSTARD PAKKI GHANI 5 LTR 4 PCS</t>
  </si>
  <si>
    <t>FG0000295</t>
  </si>
  <si>
    <t>MUSTARD KACHI GHANI 4 LTR 5 PCS</t>
  </si>
  <si>
    <t>FG0000363</t>
  </si>
  <si>
    <t>LA RASOI MUSTARD</t>
  </si>
  <si>
    <t>LA RASOI COLD PRESSED MUSTARD KACHI GHANI OIL 2 LTR 10 PCS HANDLE</t>
  </si>
  <si>
    <t>FG0000393</t>
  </si>
  <si>
    <t>YELLOW MUSTARD</t>
  </si>
  <si>
    <t>YELLOW MUSTARD OIL 1 LTR 20 PCS + JEERA 100 GMS SHRINKED</t>
  </si>
  <si>
    <t>FG0000067</t>
  </si>
  <si>
    <t>MUSTARD KACCHI GHANI 3 LTR 6 PCS</t>
  </si>
  <si>
    <t>FG0000333</t>
  </si>
  <si>
    <t>VEDAKA MUSTARD</t>
  </si>
  <si>
    <t>VEDAKA COLD PRESSED MUSTARD OIL 5 LTR 4 PCS</t>
  </si>
  <si>
    <t>FG0000330</t>
  </si>
  <si>
    <t>VEDAKA COLD PRESSED MUSTARD OIL 1 LTR 16 PCS</t>
  </si>
  <si>
    <t>FG0000136</t>
  </si>
  <si>
    <t>SANO MUSTARD</t>
  </si>
  <si>
    <t>SANO MUSTARD OIL 1 LTR 20 PCS</t>
  </si>
  <si>
    <t>FG0000137</t>
  </si>
  <si>
    <t>SANO MUSTARD OIL 5 LTR 4 PCS</t>
  </si>
  <si>
    <t>FG0000335</t>
  </si>
  <si>
    <t>VEDAKA COLD PRESSED MUSTARD OIL 2 LTR 8 PCS</t>
  </si>
  <si>
    <t>FG0000038</t>
  </si>
  <si>
    <t>MUSTARD KACCHI GHANI 2 LTR 10 PCS</t>
  </si>
  <si>
    <t>FG0000243</t>
  </si>
  <si>
    <t>SANO MUSTARD OIL 869 GMS 20 PCS</t>
  </si>
  <si>
    <t>FG0000029</t>
  </si>
  <si>
    <t>MUSTARD PAKKI GHANI 2 LTR 10 PCS</t>
  </si>
  <si>
    <t>FG0000232</t>
  </si>
  <si>
    <t>OLIVE</t>
  </si>
  <si>
    <t>SC0000079</t>
  </si>
  <si>
    <t>PAIN OIL</t>
  </si>
  <si>
    <t>PAIN</t>
  </si>
  <si>
    <t>PAIN OIL 250 MLS4 PCS</t>
  </si>
  <si>
    <t>FG0000008</t>
  </si>
  <si>
    <t>POMACE</t>
  </si>
  <si>
    <t>JIVO POMACE</t>
  </si>
  <si>
    <t>POMACE OLIVE 5 LTR TIN 4 PCS</t>
  </si>
  <si>
    <t>FG0000028</t>
  </si>
  <si>
    <t>POMACE OLIVE 1 LTR 16 PCS</t>
  </si>
  <si>
    <t>FG0000151</t>
  </si>
  <si>
    <t>SANO POMACE</t>
  </si>
  <si>
    <t>SANO POMACE OLIVE 5 LTR TIN 4 PCS</t>
  </si>
  <si>
    <t>FG0000150</t>
  </si>
  <si>
    <t>SANO POMACE OLIVE 1 LTR 16 PCS</t>
  </si>
  <si>
    <t>FG0000367</t>
  </si>
  <si>
    <t>SANO POMACE OLIVE OIL 15 L</t>
  </si>
  <si>
    <t>FG0000189</t>
  </si>
  <si>
    <t>ZANO POMACE</t>
  </si>
  <si>
    <t>ZANO POMACE OLIVE 1 LTR 16 PCS</t>
  </si>
  <si>
    <t>FG0000328</t>
  </si>
  <si>
    <t>SANO POMACE OLIVE 200 LTR 1 PCS</t>
  </si>
  <si>
    <t>FG0000114</t>
  </si>
  <si>
    <t>POMACE OLIVE 2 LTR 10 PCS HANDLE</t>
  </si>
  <si>
    <t>FG0000365</t>
  </si>
  <si>
    <t>LA RASOI POMACE</t>
  </si>
  <si>
    <t>LA RASOI POMACE OLIVE OIL 2 LTR 10 PCS HANDLE</t>
  </si>
  <si>
    <t>FG0000372</t>
  </si>
  <si>
    <t>POMACE OLIVE 3 LTR TIN 6 PCS</t>
  </si>
  <si>
    <t>FG0000378</t>
  </si>
  <si>
    <t>ILAHI POMACE</t>
  </si>
  <si>
    <t>ILAHI POMACE OLIVE 1 LTR 16 PCS</t>
  </si>
  <si>
    <t>FG0000322</t>
  </si>
  <si>
    <t>LECHEF POMACE</t>
  </si>
  <si>
    <t>LE CHEF POMACE  1 LTR 16 PCS</t>
  </si>
  <si>
    <t>FG0000045</t>
  </si>
  <si>
    <t>POMACE OLIVE 500 MLS 24 PCS</t>
  </si>
  <si>
    <t>FG0000307</t>
  </si>
  <si>
    <t>HANNA</t>
  </si>
  <si>
    <t>POMACE OLIVE 1 LTR 16 PCS HANNA</t>
  </si>
  <si>
    <t>FG0000014</t>
  </si>
  <si>
    <t>PURE</t>
  </si>
  <si>
    <t>MINIATURE OLIVE 100 MLS 24 PCS</t>
  </si>
  <si>
    <t>FG0000226</t>
  </si>
  <si>
    <t>RICE BRAN</t>
  </si>
  <si>
    <t>JIVO RICE BRAIN HEALTH</t>
  </si>
  <si>
    <t>RICE BRAN OIL 5 LTR 4 PCS</t>
  </si>
  <si>
    <t>FG0000227</t>
  </si>
  <si>
    <t>RICE BRAN OIL 1 LTR 16 PCS</t>
  </si>
  <si>
    <t>FG0000348</t>
  </si>
  <si>
    <t>JIVO RICE BRAN</t>
  </si>
  <si>
    <t>RICE BRAN OIL 4 LTR 5 PCS</t>
  </si>
  <si>
    <t>FG0000280</t>
  </si>
  <si>
    <t>SANO RICE BRAIN</t>
  </si>
  <si>
    <t>SANO RICE BRAN 889 GMS POUCH 12 PCS</t>
  </si>
  <si>
    <t>FG0000324</t>
  </si>
  <si>
    <t>SESAME</t>
  </si>
  <si>
    <t>SESAME OIL 1 LTR 20 PCS</t>
  </si>
  <si>
    <t>FG0000352</t>
  </si>
  <si>
    <t>SESAME OIL (TOASTED) 500 MLS 12 PCS</t>
  </si>
  <si>
    <t>FG0000354</t>
  </si>
  <si>
    <t xml:space="preserve">SESAME OIL 15 LTR </t>
  </si>
  <si>
    <t>FG0000391</t>
  </si>
  <si>
    <t>SESAME OIL 1 LTR 20 PCS + JEERA 100 GMS SHRINKED</t>
  </si>
  <si>
    <t>FG0000359</t>
  </si>
  <si>
    <t>SOYABEAN</t>
  </si>
  <si>
    <t>JIVO SOYABEAN</t>
  </si>
  <si>
    <t>SOYABEAN OIL 750 GMS 12 PCS POUCH</t>
  </si>
  <si>
    <t>FG0000299</t>
  </si>
  <si>
    <t>SOYABEAN OIL 700 GMS POUCH 12 PCS</t>
  </si>
  <si>
    <t>FG0000194</t>
  </si>
  <si>
    <t>SOYABEAN OIL 1 LTR POUCH 12 PCS</t>
  </si>
  <si>
    <t>FG0000192</t>
  </si>
  <si>
    <t>SOYABEAN OIL 5 LTR 4 PCS</t>
  </si>
  <si>
    <t>FG0000193</t>
  </si>
  <si>
    <t>SOYABEAN OIL 1 LTR 20 PCS</t>
  </si>
  <si>
    <t>FG0000141</t>
  </si>
  <si>
    <t>SANO SOYABEAN</t>
  </si>
  <si>
    <t>SANO SOYABEAN OIL 5 LTR 4 PCS</t>
  </si>
  <si>
    <t>FG0000140</t>
  </si>
  <si>
    <t>SANO SOYABEAN OIL 1 LTR 20 PCS</t>
  </si>
  <si>
    <t>FG0000316</t>
  </si>
  <si>
    <t>SOYABEAN OIL 13 KGS (B)</t>
  </si>
  <si>
    <t>FG0000250</t>
  </si>
  <si>
    <t>SOYABEAN OIL 15 KGS</t>
  </si>
  <si>
    <t>FG0000300</t>
  </si>
  <si>
    <t>SOYABEAN OIL 770 GMS POUCH 12 PCS</t>
  </si>
  <si>
    <t>FG0000191</t>
  </si>
  <si>
    <t>SOYABEAN OIL 15 LTR</t>
  </si>
  <si>
    <t>FG0000343</t>
  </si>
  <si>
    <t>SOYABEAN 4 LTR 5 PCS</t>
  </si>
  <si>
    <t>FG0000276</t>
  </si>
  <si>
    <t>SANO POUCH</t>
  </si>
  <si>
    <t>SANO SOYABEAN OIL 850 GMS POUCH 12 PCS</t>
  </si>
  <si>
    <t>FG0000248</t>
  </si>
  <si>
    <t>SANO SOYABEAN OIL 15 KGS</t>
  </si>
  <si>
    <t>FG0000241</t>
  </si>
  <si>
    <t>SANO SOYABEAN OIL 869 GMS 20 PCS</t>
  </si>
  <si>
    <t>FG0000249</t>
  </si>
  <si>
    <t>SANO SOYABEAN OIL 13 KGS</t>
  </si>
  <si>
    <t>FG0000261</t>
  </si>
  <si>
    <t>SANO SOYABEAN OIL 12 KGS</t>
  </si>
  <si>
    <t>FG0000053</t>
  </si>
  <si>
    <t>SUNFLOWER</t>
  </si>
  <si>
    <t>JIVO SUNFLOWER</t>
  </si>
  <si>
    <t>COLD PRESS SUNFLOWER 5 LTR 4 PCS</t>
  </si>
  <si>
    <t>FG0000081</t>
  </si>
  <si>
    <t>COLD PRESS SUNFLOWER 1 LTR 20 PCS</t>
  </si>
  <si>
    <t>FG0000275</t>
  </si>
  <si>
    <t>COLD PRESS SUNFLOWER OIL 15 LTR</t>
  </si>
  <si>
    <t>FG0000296</t>
  </si>
  <si>
    <t>SUNFLOWER 4 LTR 5 PCS</t>
  </si>
  <si>
    <t>FG0000133</t>
  </si>
  <si>
    <t>COLD PRESSED SUNFLOWER OIL 2 LTR 10 PCS HANDLE</t>
  </si>
  <si>
    <t>FG0000332</t>
  </si>
  <si>
    <t>VEDAKA SUNFLOWER</t>
  </si>
  <si>
    <t>VEDAKA SUNFLOWER 5 LTR 4 PCS</t>
  </si>
  <si>
    <t>FG0000329</t>
  </si>
  <si>
    <t>VEDAKA SUNFLOWER OIL 1 LTR 16 PCS</t>
  </si>
  <si>
    <t>FG0000139</t>
  </si>
  <si>
    <t>SANO SUNFLOWER</t>
  </si>
  <si>
    <t>SANO SUNFLOWER OIL 5 LTR 4 PCS</t>
  </si>
  <si>
    <t>FG0000138</t>
  </si>
  <si>
    <t>SANO SUNFLOWER OIL 1 LTR 20 PCS</t>
  </si>
  <si>
    <t>FG0000242</t>
  </si>
  <si>
    <t>SANO SUNFLOWER OIL 869 GMS 20 PCS</t>
  </si>
  <si>
    <t>FG0000306</t>
  </si>
  <si>
    <t>YELLOW MUSTARD OIL 1 LTR 20 PCS</t>
  </si>
  <si>
    <t>FG0000374</t>
  </si>
  <si>
    <t>YELLOW MUSTARD OIL 5 LTR TIN 4 PCS</t>
  </si>
  <si>
    <t>JIVO SOYABEAN OIL 12 KGS</t>
  </si>
  <si>
    <t>Commodity</t>
  </si>
  <si>
    <t>Premium</t>
  </si>
  <si>
    <t>FG0000043</t>
  </si>
  <si>
    <t>COLD PRESS 3 LTR 6 PCS</t>
  </si>
  <si>
    <t>RICE BRAN OIL 15 KGS</t>
  </si>
  <si>
    <t>RICE BRAN OIL 15 LTR</t>
  </si>
  <si>
    <t>FG0000132</t>
  </si>
  <si>
    <t>FG0000395</t>
  </si>
  <si>
    <t>FG0000408</t>
  </si>
  <si>
    <t>FG0000398</t>
  </si>
  <si>
    <t>FG0000396</t>
  </si>
  <si>
    <t>FG0000006</t>
  </si>
  <si>
    <t>FG0000394</t>
  </si>
  <si>
    <t>FG0000397</t>
  </si>
  <si>
    <t>FG0000054</t>
  </si>
  <si>
    <t>FG0000282</t>
  </si>
  <si>
    <t>FG0000320</t>
  </si>
  <si>
    <t>JIVO EXTRA VIRGIN COCONUT OIL 1 LTR 16 PCS ( CSD )</t>
  </si>
  <si>
    <t>COLD PRESS 1 LTR (NIRMAL RISHI ) 24 PCS</t>
  </si>
  <si>
    <t>JIVO EXTRA LIGHT OLIVE OIL 1 LTR 16 PCS ( CSD )</t>
  </si>
  <si>
    <t>JIVO EXTRA VIRGIN OLIVE OIL 1 LTR 16 PCS ( CSD )</t>
  </si>
  <si>
    <t>POMACE OLIVE 200 LTR 1 PCS</t>
  </si>
  <si>
    <t>JIVO POMACE OLIVE OIL 1 LTR 16 PCS ( CSD )</t>
  </si>
  <si>
    <t>JIVO EXTRA VIRGIN OLIVE OIL 500 MLS 24 PCS ( CSD )</t>
  </si>
  <si>
    <t>COLD PRESS 4 LTR + EXTRA LIGHT OLIVE 1 LTR 5 PCS</t>
  </si>
  <si>
    <t>EXTRA VIRGIN COCONUT OIL 200 MLS 6 PCS</t>
  </si>
  <si>
    <t>YELLOW MUSTARD OIL 1 LTR 16 PCS</t>
  </si>
  <si>
    <t>FG0000445</t>
  </si>
  <si>
    <t>PRODUCTION PLANING MONTH OF AUG 2026</t>
  </si>
  <si>
    <t xml:space="preserve">AUG 1ST WEEK </t>
  </si>
  <si>
    <t xml:space="preserve">JIVO </t>
  </si>
  <si>
    <t>FG0000442</t>
  </si>
  <si>
    <t xml:space="preserve">Ecom Planning </t>
  </si>
  <si>
    <t>FG0000419</t>
  </si>
  <si>
    <t>COLD PRESS GROUNDNUT OIL 2 LTR 10 PCS HANDLE</t>
  </si>
  <si>
    <t>FG0000452</t>
  </si>
  <si>
    <t>FG0000443</t>
  </si>
  <si>
    <t>FG0000440</t>
  </si>
  <si>
    <t>FG0000449</t>
  </si>
  <si>
    <t>FG0000448</t>
  </si>
  <si>
    <t>FG0000451</t>
  </si>
  <si>
    <t>FG0000454</t>
  </si>
  <si>
    <t xml:space="preserve"> MUSTARD</t>
  </si>
  <si>
    <t>FIRST PRESSED MUSTARD OIL 1 LTR 20 PCS</t>
  </si>
  <si>
    <t>FIRST PRESSED SUNFLOWER OIL 1 LTR 20 PCS</t>
  </si>
  <si>
    <t>FG0000441</t>
  </si>
  <si>
    <t>COLD PRESS GROUNDNUT 200 MLS 70 PCS - BH</t>
  </si>
  <si>
    <t>Total Planning</t>
  </si>
  <si>
    <t>PET</t>
  </si>
  <si>
    <t>PACK TYPE</t>
  </si>
  <si>
    <t>PET 26GM</t>
  </si>
  <si>
    <t>PET 52 GRAM</t>
  </si>
  <si>
    <t>PET 40GM</t>
  </si>
  <si>
    <t>5 LTR JAR</t>
  </si>
  <si>
    <t>TIN</t>
  </si>
  <si>
    <t>POUCH</t>
  </si>
  <si>
    <t>PET 75GM</t>
  </si>
  <si>
    <t>DRUM</t>
  </si>
  <si>
    <t>3 LTR JAR</t>
  </si>
  <si>
    <t>PET 21GM</t>
  </si>
  <si>
    <t>SESAME OIL 500 MLS 12 PCS</t>
  </si>
  <si>
    <t>MUSTARD KACHI GHANI 200 ML 35 PCS</t>
  </si>
  <si>
    <t>MUSTARD KACHI GHANI 500 ML 24 PCS</t>
  </si>
  <si>
    <t>COLD PRESS SUNFLOWER OIL 200 ML 35 PCS</t>
  </si>
  <si>
    <t>COLD PRESS GROUNDNUT 500 MLS 24 PCS</t>
  </si>
  <si>
    <t>200KG DRUM</t>
  </si>
  <si>
    <t>200 ML</t>
  </si>
  <si>
    <t>500ML</t>
  </si>
  <si>
    <t>TOTAL PCS</t>
  </si>
  <si>
    <t>'GRAND TOTAL</t>
  </si>
  <si>
    <t>.</t>
  </si>
  <si>
    <t>PACK SIZE</t>
  </si>
  <si>
    <t>PLANNING</t>
  </si>
  <si>
    <t>Total PLANNING</t>
  </si>
  <si>
    <t>Total PROD. CAPACITY</t>
  </si>
  <si>
    <t>PROD. CAPACITY</t>
  </si>
  <si>
    <t>Machine Pending</t>
  </si>
  <si>
    <t>TOTAL PLANNING (IN TONS)</t>
  </si>
  <si>
    <t>GT/MT/ROI (IN TONS)</t>
  </si>
  <si>
    <t>ECOM PLANNING (IN TONS)</t>
  </si>
  <si>
    <t>GT/MT/ROI (IN TONS) FIRST WEEK</t>
  </si>
  <si>
    <t>ECOM FIRST WEEK PLANNING (IN TONS)</t>
  </si>
  <si>
    <t>TOTAL FIRST WEEK</t>
  </si>
  <si>
    <t>FG0000400</t>
  </si>
  <si>
    <t>JIVO KACHI GHANI COLD PRESSED MUSTARD OIL 1 LTR 20 PCS ( CSD )</t>
  </si>
  <si>
    <t>FG0000399</t>
  </si>
  <si>
    <t>JIVO KACHI GHANI COLD PRESSED MUSTARD OIL 5 LTR 4 PCS ( CSD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</si>
</sst>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#0"/>
    <numFmt numFmtId="166" formatCode="#0.00"/>
    <numFmt numFmtId="167" formatCode="_ * #,##0_ ;_ * \-#,##0_ ;_ * &quot;-&quot;??_ ;_ @_ "/>
    <numFmt numFmtId="168" formatCode="_ * #,##0.0_ ;_ * \-#,##0.0_ ;_ * &quot;-&quot;??_ ;_ @_ "/>
  </numFmts>
  <fonts count="16">
    <font>
      <sz val="11"/>
      <color rgb="FF000000"/>
      <name val="Calibri"/>
      <charset val="134"/>
    </font>
    <font>
      <sz val="11"/>
      <name val="Calibri"/>
      <family val="2"/>
    </font>
    <font>
      <b/>
      <sz val="11"/>
      <name val="Calibri"/>
      <family val="2"/>
    </font>
    <font>
      <sz val="9"/>
      <color rgb="FF333333"/>
      <name val="Arial"/>
      <family val="2"/>
    </font>
    <font>
      <sz val="10"/>
      <name val="Arial"/>
      <family val="2"/>
    </font>
    <font>
      <sz val="11"/>
      <color rgb="FFFFFFFF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charset val="134"/>
    </font>
    <font>
      <b/>
      <i/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7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1" xfId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1" fillId="0" borderId="1" xfId="1" applyFont="1" applyFill="1" applyBorder="1" applyAlignment="1">
      <alignment horizontal="center" wrapText="1"/>
    </xf>
    <xf numFmtId="167" fontId="1" fillId="0" borderId="1" xfId="1" applyNumberFormat="1" applyFont="1" applyFill="1" applyBorder="1" applyAlignment="1">
      <alignment horizontal="center"/>
    </xf>
    <xf numFmtId="0" fontId="0" fillId="0" borderId="0" xfId="0" pivotButton="1"/>
    <xf numFmtId="164" fontId="0" fillId="0" borderId="0" xfId="1" applyFont="1"/>
    <xf numFmtId="167" fontId="0" fillId="0" borderId="0" xfId="1" applyNumberFormat="1" applyFont="1"/>
    <xf numFmtId="167" fontId="1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2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7" fontId="0" fillId="7" borderId="1" xfId="0" applyNumberFormat="1" applyFill="1" applyBorder="1"/>
    <xf numFmtId="167" fontId="0" fillId="8" borderId="1" xfId="0" applyNumberFormat="1" applyFill="1" applyBorder="1"/>
    <xf numFmtId="0" fontId="0" fillId="8" borderId="1" xfId="0" applyFill="1" applyBorder="1" applyAlignment="1">
      <alignment horizontal="left"/>
    </xf>
    <xf numFmtId="167" fontId="0" fillId="9" borderId="1" xfId="0" applyNumberFormat="1" applyFill="1" applyBorder="1"/>
    <xf numFmtId="0" fontId="0" fillId="9" borderId="1" xfId="0" applyFill="1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7" fontId="1" fillId="0" borderId="1" xfId="1" applyNumberFormat="1" applyFont="1" applyFill="1" applyBorder="1" applyAlignment="1"/>
    <xf numFmtId="164" fontId="1" fillId="0" borderId="1" xfId="1" applyFont="1" applyFill="1" applyBorder="1" applyAlignment="1">
      <alignment wrapText="1"/>
    </xf>
    <xf numFmtId="164" fontId="1" fillId="0" borderId="1" xfId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1" xfId="0" applyFont="1" applyBorder="1"/>
    <xf numFmtId="168" fontId="1" fillId="0" borderId="1" xfId="1" applyNumberFormat="1" applyFont="1" applyFill="1" applyBorder="1" applyAlignment="1">
      <alignment horizontal="center"/>
    </xf>
    <xf numFmtId="168" fontId="0" fillId="0" borderId="1" xfId="0" applyNumberFormat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5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7" formatCode="_ * #,##0_ ;_ * \-#,##0_ ;_ * &quot;-&quot;??_ ;_ @_ "/>
    </dxf>
    <dxf>
      <numFmt numFmtId="167" formatCode="_ * #,##0_ ;_ * \-#,##0_ ;_ * &quot;-&quot;??_ ;_ @_ "/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Ecom%20monthly%20Planning%20Aug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vo112/Desktop/Swiggy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OIL"/>
      <sheetName val="Oil Small Sku"/>
      <sheetName val="scheme"/>
      <sheetName val="Beverages"/>
    </sheetNames>
    <sheetDataSet>
      <sheetData sheetId="0"/>
      <sheetData sheetId="1"/>
      <sheetData sheetId="2">
        <row r="2">
          <cell r="A2" t="str">
            <v>FG0000053</v>
          </cell>
          <cell r="B2" t="str">
            <v>FG0000053</v>
          </cell>
          <cell r="C2" t="str">
            <v>Commodity</v>
          </cell>
          <cell r="D2" t="str">
            <v>Jivo</v>
          </cell>
          <cell r="E2" t="str">
            <v>Sunflower</v>
          </cell>
          <cell r="F2" t="str">
            <v>COLD PRESS SUNFLOWER 5 LTR 4 PCS</v>
          </cell>
          <cell r="G2" t="str">
            <v>JAR</v>
          </cell>
          <cell r="H2">
            <v>5</v>
          </cell>
          <cell r="I2">
            <v>20</v>
          </cell>
          <cell r="J2">
            <v>4</v>
          </cell>
          <cell r="K2">
            <v>3500</v>
          </cell>
          <cell r="L2">
            <v>5000</v>
          </cell>
          <cell r="M2">
            <v>68652</v>
          </cell>
          <cell r="N2">
            <v>100000</v>
          </cell>
        </row>
        <row r="3">
          <cell r="A3" t="str">
            <v>FG0000030</v>
          </cell>
          <cell r="B3" t="str">
            <v>FG0000030</v>
          </cell>
          <cell r="C3" t="str">
            <v>Commodity</v>
          </cell>
          <cell r="D3" t="str">
            <v>Jivo</v>
          </cell>
          <cell r="E3" t="str">
            <v>Mustard</v>
          </cell>
          <cell r="F3" t="str">
            <v>MUSTARD KACHI GHANI 1 LTR 20 PCS</v>
          </cell>
          <cell r="G3" t="str">
            <v>21g</v>
          </cell>
          <cell r="H3">
            <v>1</v>
          </cell>
          <cell r="I3">
            <v>20</v>
          </cell>
          <cell r="J3">
            <v>20</v>
          </cell>
          <cell r="K3">
            <v>4000</v>
          </cell>
          <cell r="L3">
            <v>23500</v>
          </cell>
          <cell r="M3">
            <v>1112240</v>
          </cell>
          <cell r="N3">
            <v>470000</v>
          </cell>
        </row>
        <row r="4">
          <cell r="A4" t="str">
            <v>FG0000011</v>
          </cell>
          <cell r="B4" t="str">
            <v>FG0000011</v>
          </cell>
          <cell r="C4" t="str">
            <v>Commodity</v>
          </cell>
          <cell r="D4" t="str">
            <v>Jivo</v>
          </cell>
          <cell r="E4" t="str">
            <v>Mustard</v>
          </cell>
          <cell r="F4" t="str">
            <v>MUSTARD KACCHI GHANI 5 LTR 4 PCS</v>
          </cell>
          <cell r="G4" t="str">
            <v>JAR</v>
          </cell>
          <cell r="H4">
            <v>5</v>
          </cell>
          <cell r="I4">
            <v>20</v>
          </cell>
          <cell r="J4">
            <v>4</v>
          </cell>
          <cell r="K4">
            <v>2800</v>
          </cell>
          <cell r="L4">
            <v>10000</v>
          </cell>
          <cell r="M4">
            <v>53884</v>
          </cell>
          <cell r="N4">
            <v>200000</v>
          </cell>
        </row>
        <row r="5">
          <cell r="A5" t="str">
            <v>FG0000028</v>
          </cell>
          <cell r="B5" t="str">
            <v>FG0000028</v>
          </cell>
          <cell r="C5" t="str">
            <v>Premium</v>
          </cell>
          <cell r="D5" t="str">
            <v>Jivo</v>
          </cell>
          <cell r="E5" t="str">
            <v>Pomace</v>
          </cell>
          <cell r="F5" t="str">
            <v>POMACE OLIVE 1 LTR 16 PCS</v>
          </cell>
          <cell r="G5" t="str">
            <v>52g</v>
          </cell>
          <cell r="H5">
            <v>1</v>
          </cell>
          <cell r="I5">
            <v>16</v>
          </cell>
          <cell r="J5">
            <v>16</v>
          </cell>
          <cell r="K5">
            <v>3000</v>
          </cell>
          <cell r="L5">
            <v>5000</v>
          </cell>
          <cell r="M5">
            <v>104816</v>
          </cell>
          <cell r="N5">
            <v>80000</v>
          </cell>
        </row>
        <row r="6">
          <cell r="A6" t="str">
            <v>FG0000004</v>
          </cell>
          <cell r="B6" t="str">
            <v>FG0000004</v>
          </cell>
          <cell r="C6" t="str">
            <v>Premium</v>
          </cell>
          <cell r="D6" t="str">
            <v>Jivo</v>
          </cell>
          <cell r="E6" t="str">
            <v>Canola</v>
          </cell>
          <cell r="F6" t="str">
            <v>COLD PRESS 5 LTR 4 PCS</v>
          </cell>
          <cell r="G6" t="str">
            <v>JAR</v>
          </cell>
          <cell r="H6">
            <v>5</v>
          </cell>
          <cell r="I6">
            <v>20</v>
          </cell>
          <cell r="J6">
            <v>4</v>
          </cell>
          <cell r="K6">
            <v>2000</v>
          </cell>
          <cell r="L6">
            <v>3750</v>
          </cell>
          <cell r="M6">
            <v>137860</v>
          </cell>
          <cell r="N6">
            <v>75000</v>
          </cell>
        </row>
        <row r="7">
          <cell r="A7" t="str">
            <v>FG0000008</v>
          </cell>
          <cell r="B7" t="str">
            <v>FG0000008</v>
          </cell>
          <cell r="C7" t="str">
            <v>Premium</v>
          </cell>
          <cell r="D7" t="str">
            <v>Jivo</v>
          </cell>
          <cell r="E7" t="str">
            <v>Pomace</v>
          </cell>
          <cell r="F7" t="str">
            <v>POMACE OLIVE 5 LTR TIN 4 PCS</v>
          </cell>
          <cell r="G7" t="str">
            <v>TIN</v>
          </cell>
          <cell r="H7">
            <v>5</v>
          </cell>
          <cell r="I7">
            <v>20</v>
          </cell>
          <cell r="J7">
            <v>4</v>
          </cell>
          <cell r="K7">
            <v>1000</v>
          </cell>
          <cell r="L7">
            <v>3500</v>
          </cell>
          <cell r="M7">
            <v>206580</v>
          </cell>
          <cell r="N7">
            <v>70000</v>
          </cell>
        </row>
        <row r="8">
          <cell r="A8" t="str">
            <v>FG0000064</v>
          </cell>
          <cell r="B8" t="str">
            <v>FG0000064</v>
          </cell>
          <cell r="C8" t="str">
            <v>Premium</v>
          </cell>
          <cell r="D8" t="str">
            <v>Jivo</v>
          </cell>
          <cell r="E8" t="str">
            <v>EL</v>
          </cell>
          <cell r="F8" t="str">
            <v>EXTRA LIGHT OLIVE 2 LTR 10 PCS HANDLE</v>
          </cell>
          <cell r="G8"/>
          <cell r="H8">
            <v>2</v>
          </cell>
          <cell r="I8">
            <v>20</v>
          </cell>
          <cell r="J8">
            <v>10</v>
          </cell>
          <cell r="K8">
            <v>800</v>
          </cell>
          <cell r="L8">
            <v>1250</v>
          </cell>
          <cell r="M8">
            <v>33820</v>
          </cell>
          <cell r="N8">
            <v>25000</v>
          </cell>
        </row>
        <row r="9">
          <cell r="A9" t="str">
            <v>FG0000005</v>
          </cell>
          <cell r="B9" t="str">
            <v>FG0000005</v>
          </cell>
          <cell r="C9" t="str">
            <v>Premium</v>
          </cell>
          <cell r="D9" t="str">
            <v>Jivo</v>
          </cell>
          <cell r="E9" t="str">
            <v>EL</v>
          </cell>
          <cell r="F9" t="str">
            <v>EXTRA LIGHT OLIVE 1 LTR 16 PCS</v>
          </cell>
          <cell r="G9" t="str">
            <v>52g</v>
          </cell>
          <cell r="H9">
            <v>1</v>
          </cell>
          <cell r="I9">
            <v>16</v>
          </cell>
          <cell r="J9">
            <v>16</v>
          </cell>
          <cell r="K9">
            <v>1800</v>
          </cell>
          <cell r="L9">
            <v>2500</v>
          </cell>
          <cell r="M9">
            <v>64256</v>
          </cell>
          <cell r="N9">
            <v>40000</v>
          </cell>
        </row>
        <row r="10">
          <cell r="A10" t="str">
            <v>FG0000032</v>
          </cell>
          <cell r="B10" t="str">
            <v>FG0000032</v>
          </cell>
          <cell r="C10" t="str">
            <v>Premium</v>
          </cell>
          <cell r="D10" t="str">
            <v>Jivo</v>
          </cell>
          <cell r="E10" t="str">
            <v>Canola</v>
          </cell>
          <cell r="F10" t="str">
            <v>COLD PRESS 1 LTR 20 PCS</v>
          </cell>
          <cell r="G10" t="str">
            <v>40g</v>
          </cell>
          <cell r="H10">
            <v>1</v>
          </cell>
          <cell r="I10">
            <v>20</v>
          </cell>
          <cell r="J10">
            <v>20</v>
          </cell>
          <cell r="K10">
            <v>2000</v>
          </cell>
          <cell r="L10">
            <v>3750</v>
          </cell>
          <cell r="M10">
            <v>46860</v>
          </cell>
          <cell r="N10">
            <v>75000</v>
          </cell>
        </row>
        <row r="11">
          <cell r="A11" t="str">
            <v>FG0000009</v>
          </cell>
          <cell r="B11" t="str">
            <v>FG0000009</v>
          </cell>
          <cell r="C11" t="str">
            <v>Premium</v>
          </cell>
          <cell r="D11" t="str">
            <v>Jivo</v>
          </cell>
          <cell r="E11" t="str">
            <v>EL</v>
          </cell>
          <cell r="F11" t="str">
            <v>EXTRA LIGHT OLIVE 5 LTR TIN 4 PCS</v>
          </cell>
          <cell r="G11" t="str">
            <v>TIN</v>
          </cell>
          <cell r="H11">
            <v>5</v>
          </cell>
          <cell r="I11">
            <v>20</v>
          </cell>
          <cell r="J11">
            <v>4</v>
          </cell>
          <cell r="K11">
            <v>500</v>
          </cell>
          <cell r="L11">
            <v>750</v>
          </cell>
          <cell r="M11">
            <v>12300</v>
          </cell>
          <cell r="N11">
            <v>15000</v>
          </cell>
        </row>
        <row r="12">
          <cell r="A12" t="str">
            <v>FG0000081</v>
          </cell>
          <cell r="B12" t="str">
            <v>FG0000081</v>
          </cell>
          <cell r="C12" t="str">
            <v>Commodity</v>
          </cell>
          <cell r="D12" t="str">
            <v>Jivo</v>
          </cell>
          <cell r="E12" t="str">
            <v>Sunflower</v>
          </cell>
          <cell r="F12" t="str">
            <v>COLD PRESS SUNFLOWER 1 LTR 20 PCS</v>
          </cell>
          <cell r="G12" t="str">
            <v>40g</v>
          </cell>
          <cell r="H12">
            <v>1</v>
          </cell>
          <cell r="I12">
            <v>20</v>
          </cell>
          <cell r="J12">
            <v>20</v>
          </cell>
          <cell r="K12">
            <v>2800</v>
          </cell>
          <cell r="L12">
            <v>15000</v>
          </cell>
          <cell r="M12">
            <v>54000</v>
          </cell>
          <cell r="N12">
            <v>300000</v>
          </cell>
        </row>
        <row r="13">
          <cell r="A13" t="str">
            <v>FG0000128</v>
          </cell>
          <cell r="B13" t="str">
            <v>FG0000128</v>
          </cell>
          <cell r="C13" t="str">
            <v>Commodity</v>
          </cell>
          <cell r="D13" t="str">
            <v>Jivo</v>
          </cell>
          <cell r="E13" t="str">
            <v>Gold</v>
          </cell>
          <cell r="F13" t="str">
            <v>JIVO GOLD 5 LTR 4 PCS</v>
          </cell>
          <cell r="G13" t="str">
            <v>JAR</v>
          </cell>
          <cell r="H13">
            <v>5</v>
          </cell>
          <cell r="I13">
            <v>20</v>
          </cell>
          <cell r="J13">
            <v>4</v>
          </cell>
          <cell r="K13">
            <v>1500</v>
          </cell>
          <cell r="L13">
            <v>1250</v>
          </cell>
          <cell r="M13">
            <v>31432</v>
          </cell>
          <cell r="N13">
            <v>25000</v>
          </cell>
        </row>
        <row r="14">
          <cell r="A14" t="str">
            <v>FG0000151</v>
          </cell>
          <cell r="B14" t="str">
            <v>FG0000151</v>
          </cell>
          <cell r="C14" t="str">
            <v>Premium</v>
          </cell>
          <cell r="D14" t="str">
            <v>Sano</v>
          </cell>
          <cell r="E14" t="str">
            <v>pomace</v>
          </cell>
          <cell r="F14" t="str">
            <v>SANO POMACE OLIVE 5 LTR TIN 4 PCS</v>
          </cell>
          <cell r="G14" t="str">
            <v>TIN</v>
          </cell>
          <cell r="H14">
            <v>5</v>
          </cell>
          <cell r="I14">
            <v>20</v>
          </cell>
          <cell r="J14">
            <v>4</v>
          </cell>
          <cell r="K14">
            <v>1500</v>
          </cell>
          <cell r="L14">
            <v>1250</v>
          </cell>
          <cell r="M14">
            <v>19424</v>
          </cell>
          <cell r="N14">
            <v>25000</v>
          </cell>
        </row>
        <row r="15">
          <cell r="A15" t="str">
            <v>FG0000143</v>
          </cell>
          <cell r="B15" t="str">
            <v>FG0000143</v>
          </cell>
          <cell r="C15" t="str">
            <v>Premium</v>
          </cell>
          <cell r="D15" t="str">
            <v>Jivo</v>
          </cell>
          <cell r="E15" t="str">
            <v>Groundnut</v>
          </cell>
          <cell r="F15" t="str">
            <v>COLD PRESS GROUNDNUT OIL 5 LTR 4 PCS</v>
          </cell>
          <cell r="G15" t="str">
            <v>JAR</v>
          </cell>
          <cell r="H15">
            <v>5</v>
          </cell>
          <cell r="I15">
            <v>20</v>
          </cell>
          <cell r="J15">
            <v>4</v>
          </cell>
          <cell r="K15">
            <v>800</v>
          </cell>
          <cell r="L15">
            <v>4500</v>
          </cell>
          <cell r="M15">
            <v>50000</v>
          </cell>
          <cell r="N15">
            <v>90000</v>
          </cell>
        </row>
        <row r="16">
          <cell r="A16" t="str">
            <v>FG0000042</v>
          </cell>
          <cell r="B16" t="str">
            <v>FG0000042</v>
          </cell>
          <cell r="C16" t="str">
            <v>Premium</v>
          </cell>
          <cell r="D16" t="str">
            <v>Jivo</v>
          </cell>
          <cell r="E16" t="str">
            <v>EVO</v>
          </cell>
          <cell r="F16" t="str">
            <v>EXTRA VIRGIN OLIVE 1 LTR 16 PCS</v>
          </cell>
          <cell r="G16" t="str">
            <v>52g</v>
          </cell>
          <cell r="H16">
            <v>1</v>
          </cell>
          <cell r="I16">
            <v>16</v>
          </cell>
          <cell r="J16">
            <v>16</v>
          </cell>
          <cell r="K16">
            <v>800</v>
          </cell>
          <cell r="L16">
            <v>625</v>
          </cell>
          <cell r="M16">
            <v>6688</v>
          </cell>
          <cell r="N16">
            <v>10000</v>
          </cell>
        </row>
        <row r="17">
          <cell r="A17" t="str">
            <v>FG0000088</v>
          </cell>
          <cell r="B17" t="str">
            <v>FG0000088</v>
          </cell>
          <cell r="C17" t="str">
            <v>Premium</v>
          </cell>
          <cell r="D17" t="str">
            <v>Jivo</v>
          </cell>
          <cell r="E17" t="str">
            <v>Canola</v>
          </cell>
          <cell r="F17" t="str">
            <v>COLD PRESS 1 LTR +1 LTR COMBO 10 SET PLAIN</v>
          </cell>
          <cell r="G17"/>
          <cell r="H17">
            <v>2</v>
          </cell>
          <cell r="I17">
            <v>20</v>
          </cell>
          <cell r="J17">
            <v>10</v>
          </cell>
          <cell r="K17">
            <v>250</v>
          </cell>
          <cell r="L17">
            <v>250</v>
          </cell>
          <cell r="M17">
            <v>4550</v>
          </cell>
          <cell r="N17">
            <v>5000</v>
          </cell>
        </row>
        <row r="18">
          <cell r="A18" t="str">
            <v>FG0000150</v>
          </cell>
          <cell r="B18" t="str">
            <v>FG0000150</v>
          </cell>
          <cell r="C18" t="str">
            <v>Premium</v>
          </cell>
          <cell r="D18" t="str">
            <v>Sano</v>
          </cell>
          <cell r="E18" t="str">
            <v>pomace</v>
          </cell>
          <cell r="F18" t="str">
            <v>SANO POMACE OLIVE 1 LTR 16 PCS</v>
          </cell>
          <cell r="G18" t="str">
            <v>52g</v>
          </cell>
          <cell r="H18">
            <v>1</v>
          </cell>
          <cell r="I18">
            <v>16</v>
          </cell>
          <cell r="J18">
            <v>16</v>
          </cell>
          <cell r="K18">
            <v>1500</v>
          </cell>
          <cell r="L18">
            <v>1875</v>
          </cell>
          <cell r="M18">
            <v>30192</v>
          </cell>
          <cell r="N18">
            <v>30000</v>
          </cell>
        </row>
        <row r="19">
          <cell r="A19" t="str">
            <v>FG0000074</v>
          </cell>
          <cell r="B19" t="str">
            <v>FG0000074</v>
          </cell>
          <cell r="C19" t="str">
            <v>Premium</v>
          </cell>
          <cell r="D19" t="str">
            <v>Jivo</v>
          </cell>
          <cell r="E19" t="str">
            <v>EVO</v>
          </cell>
          <cell r="F19" t="str">
            <v>EXTRA VIRGIN OLIVE 5 LTR TIN 4 PCS IMPORTED</v>
          </cell>
          <cell r="G19" t="str">
            <v>TIN</v>
          </cell>
          <cell r="H19">
            <v>5</v>
          </cell>
          <cell r="I19">
            <v>20</v>
          </cell>
          <cell r="J19">
            <v>4</v>
          </cell>
          <cell r="K19">
            <v>350</v>
          </cell>
          <cell r="L19">
            <v>250</v>
          </cell>
          <cell r="M19">
            <v>3100</v>
          </cell>
          <cell r="N19">
            <v>5000</v>
          </cell>
        </row>
        <row r="20">
          <cell r="A20" t="str">
            <v>FG0000226</v>
          </cell>
          <cell r="B20" t="str">
            <v>FG0000230</v>
          </cell>
          <cell r="C20" t="str">
            <v>Commodity</v>
          </cell>
          <cell r="D20" t="str">
            <v>Jivo</v>
          </cell>
          <cell r="E20" t="str">
            <v>Rice Bran</v>
          </cell>
          <cell r="F20" t="str">
            <v>RICE BRAN OIL 5 LTR 4 PCS</v>
          </cell>
          <cell r="G20" t="str">
            <v>JAR</v>
          </cell>
          <cell r="H20">
            <v>5</v>
          </cell>
          <cell r="I20">
            <v>20</v>
          </cell>
          <cell r="J20">
            <v>4</v>
          </cell>
          <cell r="K20">
            <v>800</v>
          </cell>
          <cell r="L20">
            <v>1000</v>
          </cell>
          <cell r="M20">
            <v>17940</v>
          </cell>
          <cell r="N20">
            <v>20000</v>
          </cell>
        </row>
        <row r="21">
          <cell r="A21" t="str">
            <v>FG0000228</v>
          </cell>
          <cell r="B21" t="str">
            <v>FG0000272</v>
          </cell>
          <cell r="C21" t="str">
            <v>Premium</v>
          </cell>
          <cell r="D21" t="str">
            <v>Jivo</v>
          </cell>
          <cell r="E21" t="str">
            <v>So Olive</v>
          </cell>
          <cell r="F21" t="str">
            <v>SO OLIVE OIL 1 LTR 16 PCS</v>
          </cell>
          <cell r="G21" t="str">
            <v>52g</v>
          </cell>
          <cell r="H21">
            <v>1</v>
          </cell>
          <cell r="I21">
            <v>16</v>
          </cell>
          <cell r="J21">
            <v>16</v>
          </cell>
          <cell r="K21">
            <v>350</v>
          </cell>
          <cell r="L21">
            <v>937.5</v>
          </cell>
          <cell r="M21">
            <v>3696</v>
          </cell>
          <cell r="N21">
            <v>15000</v>
          </cell>
        </row>
        <row r="22">
          <cell r="A22" t="str">
            <v>FG0000227</v>
          </cell>
          <cell r="B22" t="str">
            <v>FG0000227</v>
          </cell>
          <cell r="C22" t="str">
            <v>Commodity</v>
          </cell>
          <cell r="D22" t="str">
            <v>Jivo</v>
          </cell>
          <cell r="E22" t="str">
            <v>Rice Bran</v>
          </cell>
          <cell r="F22" t="str">
            <v>RICE BRAN OIL 1 LTR 16 PCS</v>
          </cell>
          <cell r="G22" t="str">
            <v>21g</v>
          </cell>
          <cell r="H22">
            <v>1</v>
          </cell>
          <cell r="I22">
            <v>20</v>
          </cell>
          <cell r="J22">
            <v>20</v>
          </cell>
          <cell r="K22">
            <v>500</v>
          </cell>
          <cell r="L22">
            <v>750</v>
          </cell>
          <cell r="M22">
            <v>11680</v>
          </cell>
          <cell r="N22">
            <v>15000</v>
          </cell>
        </row>
        <row r="23">
          <cell r="A23" t="str">
            <v>FG0000149</v>
          </cell>
          <cell r="B23" t="str">
            <v>FG0000149</v>
          </cell>
          <cell r="C23" t="str">
            <v>Commodity</v>
          </cell>
          <cell r="D23" t="str">
            <v>Jivo</v>
          </cell>
          <cell r="E23" t="str">
            <v>Gold</v>
          </cell>
          <cell r="F23" t="str">
            <v>JIVO GOLD 1 LTR 20 PCS</v>
          </cell>
          <cell r="G23" t="str">
            <v>21g</v>
          </cell>
          <cell r="H23">
            <v>1</v>
          </cell>
          <cell r="I23">
            <v>20</v>
          </cell>
          <cell r="J23">
            <v>20</v>
          </cell>
          <cell r="K23">
            <v>1800</v>
          </cell>
          <cell r="L23">
            <v>2500</v>
          </cell>
          <cell r="M23">
            <v>48680</v>
          </cell>
          <cell r="N23">
            <v>50000</v>
          </cell>
        </row>
        <row r="24">
          <cell r="A24" t="str">
            <v>FG0000142</v>
          </cell>
          <cell r="B24" t="str">
            <v>FG0000142</v>
          </cell>
          <cell r="C24" t="str">
            <v>Premium</v>
          </cell>
          <cell r="D24" t="str">
            <v>Jivo</v>
          </cell>
          <cell r="E24" t="str">
            <v>Groundnut</v>
          </cell>
          <cell r="F24" t="str">
            <v>COLD PRESS GROUNDNUT OIL 1 LTR 16 PCS</v>
          </cell>
          <cell r="G24" t="str">
            <v>52g</v>
          </cell>
          <cell r="H24">
            <v>1</v>
          </cell>
          <cell r="I24">
            <v>16</v>
          </cell>
          <cell r="J24">
            <v>16</v>
          </cell>
          <cell r="K24">
            <v>1300</v>
          </cell>
          <cell r="L24">
            <v>21875</v>
          </cell>
          <cell r="M24">
            <v>140000</v>
          </cell>
          <cell r="N24">
            <v>350000</v>
          </cell>
        </row>
        <row r="25">
          <cell r="A25" t="str">
            <v>FG0000194</v>
          </cell>
          <cell r="B25" t="str">
            <v>FG0000194</v>
          </cell>
          <cell r="C25" t="str">
            <v>Commodity</v>
          </cell>
          <cell r="D25" t="str">
            <v>Jivo</v>
          </cell>
          <cell r="E25" t="str">
            <v>Soyabean</v>
          </cell>
          <cell r="F25" t="str">
            <v>SOYABEAN OIL 1 LTR POUCH 12 PCS</v>
          </cell>
          <cell r="G25" t="str">
            <v>POUCH</v>
          </cell>
          <cell r="H25">
            <v>1</v>
          </cell>
          <cell r="I25">
            <v>12</v>
          </cell>
          <cell r="J25">
            <v>12</v>
          </cell>
          <cell r="K25">
            <v>1200</v>
          </cell>
          <cell r="L25">
            <v>4166.666666666667</v>
          </cell>
          <cell r="M25">
            <v>37992</v>
          </cell>
          <cell r="N25">
            <v>50000</v>
          </cell>
        </row>
        <row r="26">
          <cell r="A26" t="str">
            <v>FG0000192</v>
          </cell>
          <cell r="B26" t="str">
            <v>FG0000192</v>
          </cell>
          <cell r="C26" t="str">
            <v>Commodity</v>
          </cell>
          <cell r="D26" t="str">
            <v>Jivo</v>
          </cell>
          <cell r="E26" t="str">
            <v>Soyabean</v>
          </cell>
          <cell r="F26" t="str">
            <v>SOYABEAN OIL 5 LTR 4 PCS</v>
          </cell>
          <cell r="G26" t="str">
            <v>JAR</v>
          </cell>
          <cell r="H26">
            <v>5</v>
          </cell>
          <cell r="I26">
            <v>20</v>
          </cell>
          <cell r="J26">
            <v>4</v>
          </cell>
          <cell r="K26">
            <v>500</v>
          </cell>
          <cell r="L26">
            <v>500</v>
          </cell>
          <cell r="M26">
            <v>9940</v>
          </cell>
          <cell r="N26">
            <v>10000</v>
          </cell>
        </row>
        <row r="27">
          <cell r="A27" t="str">
            <v>FG0000232</v>
          </cell>
          <cell r="B27" t="str">
            <v>FG0000229</v>
          </cell>
          <cell r="C27" t="str">
            <v>Premium</v>
          </cell>
          <cell r="D27" t="str">
            <v>Jivo</v>
          </cell>
          <cell r="E27" t="str">
            <v>So Olive</v>
          </cell>
          <cell r="F27" t="str">
            <v>SO OLIVE OIL 5 LTR 4 PCS</v>
          </cell>
          <cell r="G27" t="str">
            <v>TIN</v>
          </cell>
          <cell r="H27">
            <v>5</v>
          </cell>
          <cell r="I27">
            <v>20</v>
          </cell>
          <cell r="J27">
            <v>4</v>
          </cell>
          <cell r="K27">
            <v>500</v>
          </cell>
          <cell r="L27">
            <v>750</v>
          </cell>
          <cell r="M27">
            <v>2028</v>
          </cell>
          <cell r="N27">
            <v>15000</v>
          </cell>
        </row>
        <row r="28">
          <cell r="A28" t="str">
            <v>FG0000114</v>
          </cell>
          <cell r="B28" t="str">
            <v>FG0000114</v>
          </cell>
          <cell r="C28" t="str">
            <v>Premium</v>
          </cell>
          <cell r="D28" t="str">
            <v>Jivo</v>
          </cell>
          <cell r="E28" t="str">
            <v>Pomace</v>
          </cell>
          <cell r="F28" t="str">
            <v>POMACE OLIVE 2 LTR 10 PCS HANDLE</v>
          </cell>
          <cell r="G28"/>
          <cell r="H28">
            <v>2</v>
          </cell>
          <cell r="I28">
            <v>20</v>
          </cell>
          <cell r="J28">
            <v>10</v>
          </cell>
          <cell r="K28">
            <v>300</v>
          </cell>
          <cell r="L28">
            <v>400</v>
          </cell>
          <cell r="M28">
            <v>1650</v>
          </cell>
          <cell r="N28">
            <v>8000</v>
          </cell>
        </row>
        <row r="29">
          <cell r="A29" t="str">
            <v>FG0000137</v>
          </cell>
          <cell r="B29" t="str">
            <v>FG0000137</v>
          </cell>
          <cell r="C29" t="str">
            <v>Commodity</v>
          </cell>
          <cell r="D29" t="str">
            <v>Sano</v>
          </cell>
          <cell r="E29" t="str">
            <v>mustard</v>
          </cell>
          <cell r="F29" t="str">
            <v>SANO MUSTARD OIL 5 LTR 4 PCS</v>
          </cell>
          <cell r="G29" t="str">
            <v>JAR</v>
          </cell>
          <cell r="H29">
            <v>5</v>
          </cell>
          <cell r="I29">
            <v>20</v>
          </cell>
          <cell r="J29">
            <v>4</v>
          </cell>
          <cell r="K29">
            <v>25</v>
          </cell>
          <cell r="L29">
            <v>0</v>
          </cell>
          <cell r="M29">
            <v>72</v>
          </cell>
          <cell r="N29"/>
        </row>
        <row r="30">
          <cell r="A30" t="str">
            <v>FG0000136</v>
          </cell>
          <cell r="B30" t="str">
            <v>FG0000136</v>
          </cell>
          <cell r="C30" t="str">
            <v>Commodity</v>
          </cell>
          <cell r="D30" t="str">
            <v>Sano</v>
          </cell>
          <cell r="E30" t="str">
            <v>mustard</v>
          </cell>
          <cell r="F30" t="str">
            <v>SANO MUSTARD OIL 1 LTR 20 PCS</v>
          </cell>
          <cell r="G30" t="str">
            <v>26g</v>
          </cell>
          <cell r="H30">
            <v>1</v>
          </cell>
          <cell r="I30">
            <v>20</v>
          </cell>
          <cell r="J30">
            <v>20</v>
          </cell>
          <cell r="K30">
            <v>25</v>
          </cell>
          <cell r="L30">
            <v>750</v>
          </cell>
          <cell r="M30">
            <v>260</v>
          </cell>
          <cell r="N30">
            <v>15000</v>
          </cell>
        </row>
        <row r="31">
          <cell r="A31" t="str">
            <v>FG0000135</v>
          </cell>
          <cell r="B31" t="str">
            <v>FG0000135</v>
          </cell>
          <cell r="C31" t="str">
            <v>Premium</v>
          </cell>
          <cell r="D31" t="str">
            <v>Sano</v>
          </cell>
          <cell r="E31" t="str">
            <v>canola</v>
          </cell>
          <cell r="F31" t="str">
            <v>SANO CANOLA OIL 5 LTR 4 PCS</v>
          </cell>
          <cell r="G31" t="str">
            <v>JAR</v>
          </cell>
          <cell r="H31">
            <v>5</v>
          </cell>
          <cell r="I31">
            <v>20</v>
          </cell>
          <cell r="J31">
            <v>4</v>
          </cell>
          <cell r="K31">
            <v>65</v>
          </cell>
          <cell r="L31">
            <v>0</v>
          </cell>
          <cell r="M31">
            <v>376</v>
          </cell>
          <cell r="N31">
            <v>0</v>
          </cell>
        </row>
        <row r="32">
          <cell r="A32" t="str">
            <v>FG0000155</v>
          </cell>
          <cell r="B32" t="str">
            <v>FG0000155</v>
          </cell>
          <cell r="C32" t="str">
            <v>Premium</v>
          </cell>
          <cell r="D32" t="str">
            <v>Jivo</v>
          </cell>
          <cell r="E32" t="str">
            <v>EVO</v>
          </cell>
          <cell r="F32" t="str">
            <v>EXTRA VIRGIN 2 LTR 10 PCS HANDLE</v>
          </cell>
          <cell r="G32"/>
          <cell r="H32">
            <v>2</v>
          </cell>
          <cell r="I32">
            <v>20</v>
          </cell>
          <cell r="J32">
            <v>10</v>
          </cell>
          <cell r="K32">
            <v>50</v>
          </cell>
          <cell r="L32">
            <v>100</v>
          </cell>
          <cell r="M32">
            <v>40</v>
          </cell>
          <cell r="N32">
            <v>2000</v>
          </cell>
        </row>
        <row r="33">
          <cell r="A33" t="str">
            <v>FG0000193</v>
          </cell>
          <cell r="B33" t="str">
            <v>FG0000193</v>
          </cell>
          <cell r="C33" t="str">
            <v>Commodity</v>
          </cell>
          <cell r="D33" t="str">
            <v>Jivo</v>
          </cell>
          <cell r="E33" t="str">
            <v>Soyabean</v>
          </cell>
          <cell r="F33" t="str">
            <v>SOYABEAN OIL 1 LTR 20 PCS</v>
          </cell>
          <cell r="G33" t="str">
            <v>21g</v>
          </cell>
          <cell r="H33">
            <v>1</v>
          </cell>
          <cell r="I33">
            <v>20</v>
          </cell>
          <cell r="J33">
            <v>20</v>
          </cell>
          <cell r="K33">
            <v>350</v>
          </cell>
          <cell r="L33">
            <v>750</v>
          </cell>
          <cell r="M33">
            <v>6200</v>
          </cell>
          <cell r="N33">
            <v>15000</v>
          </cell>
        </row>
        <row r="34">
          <cell r="A34" t="str">
            <v>FG0000141</v>
          </cell>
          <cell r="B34" t="str">
            <v>FG0000141</v>
          </cell>
          <cell r="C34" t="str">
            <v>Commodity</v>
          </cell>
          <cell r="D34" t="str">
            <v>Sano</v>
          </cell>
          <cell r="E34" t="str">
            <v>soyabean</v>
          </cell>
          <cell r="F34" t="str">
            <v>SANO SOYABEAN OIL 5 LTR 4 PCS</v>
          </cell>
          <cell r="G34" t="str">
            <v>JAR</v>
          </cell>
          <cell r="H34">
            <v>5</v>
          </cell>
          <cell r="I34">
            <v>20</v>
          </cell>
          <cell r="J34">
            <v>4</v>
          </cell>
          <cell r="K34">
            <v>10</v>
          </cell>
          <cell r="L34">
            <v>0</v>
          </cell>
          <cell r="M34">
            <v>172</v>
          </cell>
          <cell r="N34">
            <v>0</v>
          </cell>
        </row>
        <row r="35">
          <cell r="A35" t="str">
            <v>FG0000116</v>
          </cell>
          <cell r="B35" t="str">
            <v>FG0000116</v>
          </cell>
          <cell r="C35" t="str">
            <v>Premium</v>
          </cell>
          <cell r="D35" t="str">
            <v>Jivo</v>
          </cell>
          <cell r="E35" t="str">
            <v>EVCO</v>
          </cell>
          <cell r="F35" t="str">
            <v>EXTRA VIRGIN COCONUT OIL 1 LTR 16 PCS</v>
          </cell>
          <cell r="G35" t="str">
            <v>52g</v>
          </cell>
          <cell r="H35">
            <v>1</v>
          </cell>
          <cell r="I35">
            <v>16</v>
          </cell>
          <cell r="J35">
            <v>16</v>
          </cell>
          <cell r="K35">
            <v>300</v>
          </cell>
          <cell r="L35">
            <v>312.5</v>
          </cell>
          <cell r="M35">
            <v>2224</v>
          </cell>
          <cell r="N35">
            <v>5000</v>
          </cell>
        </row>
        <row r="36">
          <cell r="A36" t="str">
            <v>FG0000021</v>
          </cell>
          <cell r="B36" t="str">
            <v>FG0000021</v>
          </cell>
          <cell r="C36" t="str">
            <v>Premium</v>
          </cell>
          <cell r="D36" t="str">
            <v>Jivo</v>
          </cell>
          <cell r="E36" t="str">
            <v>Canola</v>
          </cell>
          <cell r="F36" t="str">
            <v>REFINED OIL 1 LTR POUCH 12 PCS</v>
          </cell>
          <cell r="G36" t="str">
            <v>POUCH</v>
          </cell>
          <cell r="H36">
            <v>1</v>
          </cell>
          <cell r="I36">
            <v>12</v>
          </cell>
          <cell r="J36">
            <v>12</v>
          </cell>
          <cell r="K36">
            <v>100</v>
          </cell>
          <cell r="L36">
            <v>666.66666666666663</v>
          </cell>
          <cell r="M36">
            <v>144</v>
          </cell>
          <cell r="N36">
            <v>8000</v>
          </cell>
        </row>
        <row r="37">
          <cell r="A37" t="str">
            <v>FG0000370</v>
          </cell>
          <cell r="B37" t="str">
            <v>FG0000390</v>
          </cell>
          <cell r="C37" t="str">
            <v>Premium</v>
          </cell>
          <cell r="D37" t="str">
            <v>Jivo</v>
          </cell>
          <cell r="E37" t="str">
            <v>EL</v>
          </cell>
          <cell r="F37" t="str">
            <v>Extra Lite 3 Ltr</v>
          </cell>
          <cell r="G37"/>
          <cell r="H37">
            <v>3</v>
          </cell>
          <cell r="I37">
            <v>18</v>
          </cell>
          <cell r="J37">
            <v>6</v>
          </cell>
          <cell r="K37">
            <v>750</v>
          </cell>
          <cell r="L37">
            <v>166.66666666666666</v>
          </cell>
          <cell r="M37">
            <v>500</v>
          </cell>
          <cell r="N37">
            <v>3000</v>
          </cell>
        </row>
        <row r="38">
          <cell r="A38" t="str">
            <v>FG0000372</v>
          </cell>
          <cell r="B38" t="str">
            <v>FG0000392</v>
          </cell>
          <cell r="C38" t="str">
            <v>Premium</v>
          </cell>
          <cell r="D38" t="str">
            <v>Jivo</v>
          </cell>
          <cell r="E38" t="str">
            <v>Pomace</v>
          </cell>
          <cell r="F38" t="str">
            <v>Pomace 3L</v>
          </cell>
          <cell r="G38"/>
          <cell r="H38">
            <v>3</v>
          </cell>
          <cell r="I38">
            <v>18</v>
          </cell>
          <cell r="J38">
            <v>6</v>
          </cell>
          <cell r="K38">
            <v>1000</v>
          </cell>
          <cell r="L38">
            <v>333.33333333333331</v>
          </cell>
          <cell r="M38">
            <v>5000</v>
          </cell>
          <cell r="N38">
            <v>6000</v>
          </cell>
        </row>
        <row r="39">
          <cell r="A39" t="str">
            <v>FG0000306</v>
          </cell>
          <cell r="B39" t="str">
            <v>FG0000328</v>
          </cell>
          <cell r="C39" t="str">
            <v>Premium</v>
          </cell>
          <cell r="D39" t="str">
            <v>Jivo</v>
          </cell>
          <cell r="E39" t="str">
            <v>Mustard</v>
          </cell>
          <cell r="F39" t="str">
            <v>YELLOW MUSTARD 1L</v>
          </cell>
          <cell r="G39" t="str">
            <v>75g</v>
          </cell>
          <cell r="H39">
            <v>1</v>
          </cell>
          <cell r="I39">
            <v>16</v>
          </cell>
          <cell r="J39">
            <v>16</v>
          </cell>
          <cell r="K39">
            <v>200</v>
          </cell>
          <cell r="L39">
            <v>937.5</v>
          </cell>
          <cell r="M39">
            <v>12000</v>
          </cell>
          <cell r="N39">
            <v>15000</v>
          </cell>
        </row>
        <row r="40">
          <cell r="A40" t="str">
            <v>FG0000419</v>
          </cell>
          <cell r="B40" t="str">
            <v>FG0000426</v>
          </cell>
          <cell r="C40" t="str">
            <v>Premium</v>
          </cell>
          <cell r="D40" t="str">
            <v>Jivo</v>
          </cell>
          <cell r="E40" t="str">
            <v>Groundnut</v>
          </cell>
          <cell r="F40" t="str">
            <v>COLD PRESS GROUNDNUT OIL 2 LTR 10 PCS</v>
          </cell>
          <cell r="G40"/>
          <cell r="H40">
            <v>2</v>
          </cell>
          <cell r="I40">
            <v>20</v>
          </cell>
          <cell r="J40">
            <v>10</v>
          </cell>
          <cell r="K40"/>
          <cell r="L40">
            <v>1000</v>
          </cell>
          <cell r="M40">
            <v>10000</v>
          </cell>
          <cell r="N40">
            <v>20000</v>
          </cell>
        </row>
        <row r="41">
          <cell r="A41" t="str">
            <v>FG0000441</v>
          </cell>
          <cell r="B41" t="str">
            <v>FG0000420</v>
          </cell>
          <cell r="C41" t="str">
            <v>Premium</v>
          </cell>
          <cell r="D41" t="str">
            <v>Jivo</v>
          </cell>
          <cell r="E41" t="str">
            <v>Groundnut</v>
          </cell>
          <cell r="F41" t="str">
            <v>COLD PRESS GROUNDNUT OIL 200 ML - BH</v>
          </cell>
          <cell r="G41"/>
          <cell r="H41">
            <v>0.2</v>
          </cell>
          <cell r="I41">
            <v>14</v>
          </cell>
          <cell r="J41">
            <v>70</v>
          </cell>
          <cell r="K41"/>
          <cell r="L41">
            <v>1500</v>
          </cell>
          <cell r="M41"/>
          <cell r="N41">
            <v>21000</v>
          </cell>
        </row>
        <row r="42">
          <cell r="A42" t="str">
            <v>FG0000374</v>
          </cell>
          <cell r="B42" t="str">
            <v>FG0000385</v>
          </cell>
          <cell r="C42" t="str">
            <v>Premium</v>
          </cell>
          <cell r="D42" t="str">
            <v>Jivo</v>
          </cell>
          <cell r="E42" t="str">
            <v>Mustard</v>
          </cell>
          <cell r="F42" t="str">
            <v>YELLOW MUSTARD 5 LTR</v>
          </cell>
          <cell r="G42" t="str">
            <v>TIN</v>
          </cell>
          <cell r="H42">
            <v>5</v>
          </cell>
          <cell r="I42">
            <v>20</v>
          </cell>
          <cell r="J42">
            <v>4</v>
          </cell>
          <cell r="K42"/>
          <cell r="L42">
            <v>750</v>
          </cell>
          <cell r="M42"/>
          <cell r="N42">
            <v>15000</v>
          </cell>
        </row>
        <row r="43">
          <cell r="A43" t="str">
            <v>FG0000324</v>
          </cell>
          <cell r="B43" t="str">
            <v>FG0000376</v>
          </cell>
          <cell r="C43" t="str">
            <v>Premium</v>
          </cell>
          <cell r="D43" t="str">
            <v>Jivo</v>
          </cell>
          <cell r="E43" t="str">
            <v>Sesame</v>
          </cell>
          <cell r="F43" t="str">
            <v>Seasme Oil 1 ltr</v>
          </cell>
          <cell r="G43" t="str">
            <v>75g</v>
          </cell>
          <cell r="H43">
            <v>1</v>
          </cell>
          <cell r="I43">
            <v>16</v>
          </cell>
          <cell r="J43">
            <v>16</v>
          </cell>
          <cell r="K43"/>
          <cell r="L43">
            <v>1250</v>
          </cell>
          <cell r="M43"/>
          <cell r="N43">
            <v>20000</v>
          </cell>
        </row>
        <row r="44">
          <cell r="A44" t="str">
            <v>FG0000452</v>
          </cell>
          <cell r="B44" t="str">
            <v>FG0000428</v>
          </cell>
          <cell r="C44" t="str">
            <v>Premium</v>
          </cell>
          <cell r="D44" t="str">
            <v>Jivo</v>
          </cell>
          <cell r="E44" t="str">
            <v>Sesame</v>
          </cell>
          <cell r="F44" t="str">
            <v>Seasme Oil 500 ml</v>
          </cell>
          <cell r="G44"/>
          <cell r="H44">
            <v>0.5</v>
          </cell>
          <cell r="I44"/>
          <cell r="J44">
            <v>12</v>
          </cell>
          <cell r="K44"/>
          <cell r="L44" t="e">
            <v>#DIV/0!</v>
          </cell>
          <cell r="M44"/>
          <cell r="N44">
            <v>5000</v>
          </cell>
        </row>
        <row r="45">
          <cell r="A45" t="str">
            <v>FG0000443</v>
          </cell>
          <cell r="B45" t="str">
            <v>FG0000424</v>
          </cell>
          <cell r="C45" t="str">
            <v>Premium</v>
          </cell>
          <cell r="D45" t="str">
            <v>Jivo</v>
          </cell>
          <cell r="E45" t="str">
            <v>Mustard</v>
          </cell>
          <cell r="F45" t="str">
            <v>First Press Mustard 1 ltr</v>
          </cell>
          <cell r="G45" t="str">
            <v>75g</v>
          </cell>
          <cell r="H45">
            <v>1</v>
          </cell>
          <cell r="I45">
            <v>16</v>
          </cell>
          <cell r="J45">
            <v>16</v>
          </cell>
          <cell r="K45"/>
          <cell r="L45">
            <v>312.5</v>
          </cell>
          <cell r="M45"/>
          <cell r="N45">
            <v>5000</v>
          </cell>
        </row>
        <row r="46">
          <cell r="A46" t="str">
            <v>FG0000440</v>
          </cell>
          <cell r="B46" t="str">
            <v>FG0000419</v>
          </cell>
          <cell r="C46" t="str">
            <v>Premium</v>
          </cell>
          <cell r="D46" t="str">
            <v>Jivo</v>
          </cell>
          <cell r="E46" t="str">
            <v>Sunflower</v>
          </cell>
          <cell r="F46" t="str">
            <v>First Press Sunflower 1 ltr</v>
          </cell>
          <cell r="G46" t="str">
            <v>75g</v>
          </cell>
          <cell r="H46">
            <v>1</v>
          </cell>
          <cell r="I46">
            <v>16</v>
          </cell>
          <cell r="J46">
            <v>16</v>
          </cell>
          <cell r="K46"/>
          <cell r="L46">
            <v>312.5</v>
          </cell>
          <cell r="M46"/>
          <cell r="N46">
            <v>5000</v>
          </cell>
        </row>
        <row r="47">
          <cell r="A47" t="str">
            <v>FG0000449</v>
          </cell>
          <cell r="B47" t="str">
            <v>FG0000430</v>
          </cell>
          <cell r="C47" t="str">
            <v>Commodity</v>
          </cell>
          <cell r="D47" t="str">
            <v>Jivo</v>
          </cell>
          <cell r="E47" t="str">
            <v>Mustard</v>
          </cell>
          <cell r="F47" t="str">
            <v>Mustard 200 ml</v>
          </cell>
          <cell r="G47"/>
          <cell r="H47">
            <v>0.2</v>
          </cell>
          <cell r="I47"/>
          <cell r="J47">
            <v>35</v>
          </cell>
          <cell r="K47"/>
          <cell r="L47" t="e">
            <v>#DIV/0!</v>
          </cell>
          <cell r="M47"/>
          <cell r="N47">
            <v>5000</v>
          </cell>
        </row>
        <row r="48">
          <cell r="A48" t="str">
            <v>FG0000448</v>
          </cell>
          <cell r="B48" t="str">
            <v>FG0000429</v>
          </cell>
          <cell r="C48" t="str">
            <v>Commodity</v>
          </cell>
          <cell r="D48" t="str">
            <v>Jivo</v>
          </cell>
          <cell r="E48" t="str">
            <v>Mustard</v>
          </cell>
          <cell r="F48" t="str">
            <v>Mustard 500 ml</v>
          </cell>
          <cell r="G48"/>
          <cell r="H48">
            <v>0.5</v>
          </cell>
          <cell r="I48"/>
          <cell r="J48">
            <v>24</v>
          </cell>
          <cell r="K48"/>
          <cell r="L48" t="e">
            <v>#DIV/0!</v>
          </cell>
          <cell r="M48"/>
          <cell r="N48">
            <v>5000</v>
          </cell>
        </row>
        <row r="49">
          <cell r="A49" t="str">
            <v>FG0000451</v>
          </cell>
          <cell r="B49" t="str">
            <v>FG0000433</v>
          </cell>
          <cell r="C49" t="str">
            <v>Commodity</v>
          </cell>
          <cell r="D49" t="str">
            <v>Jivo</v>
          </cell>
          <cell r="E49" t="str">
            <v>Sunflower</v>
          </cell>
          <cell r="F49" t="str">
            <v>Sunflower 200 ml</v>
          </cell>
          <cell r="G49"/>
          <cell r="H49">
            <v>0.2</v>
          </cell>
          <cell r="I49"/>
          <cell r="J49">
            <v>35</v>
          </cell>
          <cell r="K49"/>
          <cell r="L49" t="e">
            <v>#DIV/0!</v>
          </cell>
          <cell r="M49"/>
          <cell r="N49">
            <v>5000</v>
          </cell>
        </row>
        <row r="50">
          <cell r="A50" t="str">
            <v>FG0000035</v>
          </cell>
          <cell r="B50" t="str">
            <v>FG0000035</v>
          </cell>
          <cell r="C50" t="str">
            <v>Premium</v>
          </cell>
          <cell r="D50" t="str">
            <v>Jivo</v>
          </cell>
          <cell r="E50" t="str">
            <v>Canola</v>
          </cell>
          <cell r="F50" t="str">
            <v>Canola 500 ml</v>
          </cell>
          <cell r="G50"/>
          <cell r="H50">
            <v>0.5</v>
          </cell>
          <cell r="I50"/>
          <cell r="J50">
            <v>24</v>
          </cell>
          <cell r="K50"/>
          <cell r="L50" t="e">
            <v>#DIV/0!</v>
          </cell>
          <cell r="M50"/>
          <cell r="N50">
            <v>5000</v>
          </cell>
        </row>
        <row r="51">
          <cell r="A51" t="str">
            <v>FG0000454</v>
          </cell>
          <cell r="B51" t="str">
            <v>FG0000431</v>
          </cell>
          <cell r="C51" t="str">
            <v>Premium</v>
          </cell>
          <cell r="D51" t="str">
            <v>Jivo</v>
          </cell>
          <cell r="E51" t="str">
            <v>Groundnut</v>
          </cell>
          <cell r="F51" t="str">
            <v>Groundnut 500 ml</v>
          </cell>
          <cell r="G51"/>
          <cell r="H51">
            <v>0.5</v>
          </cell>
          <cell r="I51"/>
          <cell r="J51">
            <v>24</v>
          </cell>
          <cell r="K51"/>
          <cell r="L51" t="e">
            <v>#DIV/0!</v>
          </cell>
          <cell r="M51"/>
          <cell r="N51">
            <v>5000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>
        <row r="2">
          <cell r="C2" t="str">
            <v xml:space="preserve">FG0000035  </v>
          </cell>
          <cell r="D2" t="str">
            <v>COLD PRESS 500 MLS 24 PCS</v>
          </cell>
        </row>
        <row r="3">
          <cell r="C3" t="str">
            <v xml:space="preserve">FG0000441  </v>
          </cell>
          <cell r="D3" t="str">
            <v>COLD PRESS GROUNDNUT 200 MLS 70 PCS - BH</v>
          </cell>
        </row>
        <row r="4">
          <cell r="C4" t="str">
            <v>FG0000349</v>
          </cell>
          <cell r="D4" t="str">
            <v>EXTRA VIRGIN OLIVE 200 MLS 35 PCS</v>
          </cell>
        </row>
        <row r="5">
          <cell r="C5" t="str">
            <v>FG0000452</v>
          </cell>
          <cell r="D5" t="str">
            <v>SESAME OIL 500 MLS 12 PCS</v>
          </cell>
        </row>
        <row r="6">
          <cell r="C6" t="str">
            <v>FG0000448</v>
          </cell>
          <cell r="D6" t="str">
            <v>MUSTARD KACHI GHANI 500 ML 24 PCS</v>
          </cell>
        </row>
        <row r="7">
          <cell r="C7" t="str">
            <v>FG0000449</v>
          </cell>
          <cell r="D7" t="str">
            <v>MUSTARD KACHI GHANI 200 ML 35 PCS</v>
          </cell>
        </row>
        <row r="8">
          <cell r="C8" t="str">
            <v>FG0000454</v>
          </cell>
          <cell r="D8" t="str">
            <v>COLD PRESS GROUNDNUT 500 MLS 24 PCS</v>
          </cell>
        </row>
        <row r="9">
          <cell r="C9" t="str">
            <v>FG0000450</v>
          </cell>
          <cell r="D9" t="str">
            <v>COLD PRESS SUNFLOWER OIL 500 ML 24 PCS</v>
          </cell>
        </row>
        <row r="10">
          <cell r="C10" t="str">
            <v>FG0000451</v>
          </cell>
          <cell r="D10" t="str">
            <v>COLD PRESS SUNFLOWER OIL 200 ML 35 PCS</v>
          </cell>
        </row>
        <row r="11">
          <cell r="C11" t="str">
            <v>FG0000453</v>
          </cell>
          <cell r="D11" t="str">
            <v>DESI GHEE A2 200 MLS 24 PCS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vinderjeet Singh" refreshedDate="46235.785610995372" createdVersion="8" refreshedVersion="8" minRefreshableVersion="3" recordCount="96" xr:uid="{EC2D4E30-A691-48B5-89D2-6DD3A26A28A5}">
  <cacheSource type="worksheet">
    <worksheetSource ref="B2:P98" sheet="FINAL (2)"/>
  </cacheSource>
  <cacheFields count="25">
    <cacheField name="BRAND" numFmtId="0">
      <sharedItems/>
    </cacheField>
    <cacheField name="HEAD" numFmtId="0">
      <sharedItems count="2">
        <s v="COMMODITY"/>
        <s v="PREMIUM"/>
      </sharedItems>
    </cacheField>
    <cacheField name="CATEGORY" numFmtId="0">
      <sharedItems count="17">
        <s v="MUSTARD"/>
        <s v="GROUNDNUT"/>
        <s v="SUNFLOWER"/>
        <s v="CANOLA"/>
        <s v="POMACE"/>
        <s v="SOYABEAN"/>
        <s v="EXTRA LIGHT"/>
        <s v="GOLD"/>
        <s v="YELLOW MUSTARD"/>
        <s v="RICE BRAN"/>
        <s v="SESAME"/>
        <s v="EXTRA VIRGIN"/>
        <s v="OLIVE"/>
        <s v="BLENDED"/>
        <s v="COTTONSEED"/>
        <s v="COCONUT"/>
        <s v="CSD" u="1"/>
      </sharedItems>
    </cacheField>
    <cacheField name="SUB-CATEGORY" numFmtId="0">
      <sharedItems/>
    </cacheField>
    <cacheField name="SKU" numFmtId="0">
      <sharedItems/>
    </cacheField>
    <cacheField name="PER LTRS" numFmtId="0">
      <sharedItems containsMixedTypes="1" containsNumber="1" minValue="0.2" maxValue="200" count="20">
        <n v="1"/>
        <n v="5"/>
        <s v="POUCH"/>
        <n v="15"/>
        <n v="2"/>
        <s v="200KG DRUM"/>
        <s v="200 ML"/>
        <n v="3"/>
        <s v="500ML"/>
        <n v="0.2" u="1"/>
        <n v="0.5" u="1"/>
        <n v="0.25" u="1"/>
        <n v="200" u="1"/>
        <n v="0.75" u="1"/>
        <n v="0.7" u="1"/>
        <n v="14.29" u="1"/>
        <n v="13.1868" u="1"/>
        <n v="16.483499999999999" u="1"/>
        <n v="16.48" u="1"/>
        <n v="14.28" u="1"/>
      </sharedItems>
    </cacheField>
    <cacheField name="PACK TYPE" numFmtId="164">
      <sharedItems count="12">
        <s v="PET 26GM"/>
        <s v="PET 52 GRAM"/>
        <s v="PET 40GM"/>
        <s v="5 LTR JAR"/>
        <s v="TIN"/>
        <s v="POUCH"/>
        <s v="PET"/>
        <s v="PET 75GM"/>
        <s v="DRUM"/>
        <s v="3 LTR JAR"/>
        <s v="PET 21GM"/>
        <s v="Jar" u="1"/>
      </sharedItems>
    </cacheField>
    <cacheField name="LTRS/BOX" numFmtId="0">
      <sharedItems containsMixedTypes="1" containsNumber="1" minValue="1" maxValue="200"/>
    </cacheField>
    <cacheField name="CASE PACK" numFmtId="0">
      <sharedItems containsSemiMixedTypes="0" containsString="0" containsNumber="1" containsInteger="1" minValue="1" maxValue="70"/>
    </cacheField>
    <cacheField name="AUG MONTHLY PLANNING" numFmtId="0">
      <sharedItems containsSemiMixedTypes="0" containsString="0" containsNumber="1" containsInteger="1" minValue="0" maxValue="220000"/>
    </cacheField>
    <cacheField name="AUG 1ST WEEK " numFmtId="0">
      <sharedItems containsSemiMixedTypes="0" containsString="0" containsNumber="1" containsInteger="1" minValue="0" maxValue="55000"/>
    </cacheField>
    <cacheField name="AUG 2ND WEEK " numFmtId="0">
      <sharedItems containsSemiMixedTypes="0" containsString="0" containsNumber="1" containsInteger="1" minValue="0" maxValue="55000"/>
    </cacheField>
    <cacheField name="AUG 3RD WEEK " numFmtId="0">
      <sharedItems containsSemiMixedTypes="0" containsString="0" containsNumber="1" containsInteger="1" minValue="0" maxValue="55000"/>
    </cacheField>
    <cacheField name="AUG 4TH WEEK " numFmtId="0">
      <sharedItems containsSemiMixedTypes="0" containsString="0" containsNumber="1" containsInteger="1" minValue="0" maxValue="55000"/>
    </cacheField>
    <cacheField name="AUG MONTHLY PLANNING2" numFmtId="0">
      <sharedItems containsSemiMixedTypes="0" containsString="0" containsNumber="1" containsInteger="1" minValue="0" maxValue="150000"/>
    </cacheField>
    <cacheField name="AUG 1ST WEEK 2" numFmtId="0">
      <sharedItems containsSemiMixedTypes="0" containsString="0" containsNumber="1" containsInteger="1" minValue="0" maxValue="37500"/>
    </cacheField>
    <cacheField name="AUG 2ND WEEK 2" numFmtId="0">
      <sharedItems containsSemiMixedTypes="0" containsString="0" containsNumber="1" containsInteger="1" minValue="0" maxValue="37500"/>
    </cacheField>
    <cacheField name="AUG 3RD WEEK 2" numFmtId="0">
      <sharedItems containsSemiMixedTypes="0" containsString="0" containsNumber="1" containsInteger="1" minValue="0" maxValue="37500"/>
    </cacheField>
    <cacheField name="AUG 4TH WEEK 2" numFmtId="0">
      <sharedItems containsSemiMixedTypes="0" containsString="0" containsNumber="1" containsInteger="1" minValue="0" maxValue="37500"/>
    </cacheField>
    <cacheField name="TOTAL PCS" numFmtId="167">
      <sharedItems containsMixedTypes="1" containsNumber="1" minValue="333.33333333333331" maxValue="380000"/>
    </cacheField>
    <cacheField name="GT/MT/ROI" numFmtId="0">
      <sharedItems containsSemiMixedTypes="0" containsString="0" containsNumber="1" minValue="0" maxValue="220"/>
    </cacheField>
    <cacheField name="ECOM PLANNING " numFmtId="0">
      <sharedItems containsSemiMixedTypes="0" containsString="0" containsNumber="1" containsInteger="1" minValue="0" maxValue="350"/>
    </cacheField>
    <cacheField name="TOTAL PLANNING" numFmtId="0">
      <sharedItems containsSemiMixedTypes="0" containsString="0" containsNumber="1" minValue="0.5" maxValue="380"/>
    </cacheField>
    <cacheField name="Field1" numFmtId="0" formula="'TOTAL PCS'" databaseField="0"/>
    <cacheField name="PRODUCTION" numFmtId="0" formula="'TOTAL PLANNING'/2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JIVO"/>
    <x v="0"/>
    <x v="0"/>
    <s v="JIVO MUSTARD"/>
    <s v="MUSTARD KACHI GHANI 1 LTR 20 PCS"/>
    <x v="0"/>
    <x v="0"/>
    <n v="20"/>
    <n v="20"/>
    <n v="220000"/>
    <n v="55000"/>
    <n v="55000"/>
    <n v="55000"/>
    <n v="55000"/>
    <n v="0"/>
    <n v="0"/>
    <n v="0"/>
    <n v="0"/>
    <n v="0"/>
    <n v="220000"/>
    <n v="220"/>
    <n v="0"/>
    <n v="220"/>
  </r>
  <r>
    <s v="JIVO"/>
    <x v="1"/>
    <x v="1"/>
    <s v="JIVO GROUNDNUT"/>
    <s v="COLD PRESS GROUNDNUT OIL 1 LTR 16 PCS"/>
    <x v="0"/>
    <x v="1"/>
    <n v="16"/>
    <n v="16"/>
    <n v="0"/>
    <n v="0"/>
    <n v="0"/>
    <n v="0"/>
    <n v="0"/>
    <n v="30000"/>
    <n v="7500"/>
    <n v="7500"/>
    <n v="7500"/>
    <n v="7500"/>
    <n v="380000"/>
    <n v="30"/>
    <n v="350"/>
    <n v="380"/>
  </r>
  <r>
    <s v="JIVO"/>
    <x v="0"/>
    <x v="2"/>
    <s v="JIVO SUNFLOWER"/>
    <s v="COLD PRESS SUNFLOWER 1 LTR 20 PCS"/>
    <x v="0"/>
    <x v="2"/>
    <n v="20"/>
    <n v="20"/>
    <n v="20000"/>
    <n v="5000"/>
    <n v="5000"/>
    <n v="5000"/>
    <n v="5000"/>
    <n v="0"/>
    <n v="0"/>
    <n v="0"/>
    <n v="0"/>
    <n v="0"/>
    <n v="270000"/>
    <n v="20"/>
    <n v="250"/>
    <n v="270"/>
  </r>
  <r>
    <s v="JIVO"/>
    <x v="0"/>
    <x v="0"/>
    <s v="JIVO MUSTARD"/>
    <s v="MUSTARD KACCHI GHANI 5 LTR 4 PCS"/>
    <x v="1"/>
    <x v="3"/>
    <n v="20"/>
    <n v="4"/>
    <n v="40000"/>
    <n v="10000"/>
    <n v="10000"/>
    <n v="10000"/>
    <n v="10000"/>
    <n v="0"/>
    <n v="0"/>
    <n v="0"/>
    <n v="0"/>
    <n v="0"/>
    <n v="48000"/>
    <n v="40"/>
    <n v="150"/>
    <n v="240"/>
  </r>
  <r>
    <s v="JIVO"/>
    <x v="1"/>
    <x v="3"/>
    <s v="JIVO CANOLA"/>
    <s v="COLD PRESS 5 LTR 4 PCS"/>
    <x v="1"/>
    <x v="3"/>
    <n v="20"/>
    <n v="4"/>
    <n v="0"/>
    <n v="0"/>
    <n v="0"/>
    <n v="0"/>
    <n v="0"/>
    <n v="150000"/>
    <n v="37500"/>
    <n v="37500"/>
    <n v="37500"/>
    <n v="37500"/>
    <n v="45000"/>
    <n v="150"/>
    <n v="75"/>
    <n v="225"/>
  </r>
  <r>
    <s v="JIVO"/>
    <x v="1"/>
    <x v="4"/>
    <s v="JIVO POMACE"/>
    <s v="POMACE OLIVE 1 LTR 16 PCS"/>
    <x v="0"/>
    <x v="1"/>
    <n v="16"/>
    <n v="16"/>
    <n v="0"/>
    <n v="0"/>
    <n v="0"/>
    <n v="0"/>
    <n v="0"/>
    <n v="80000"/>
    <n v="20000"/>
    <n v="20000"/>
    <n v="20000"/>
    <n v="20000"/>
    <n v="160000"/>
    <n v="80"/>
    <n v="80"/>
    <n v="160"/>
  </r>
  <r>
    <s v="JIVO"/>
    <x v="1"/>
    <x v="4"/>
    <s v="JIVO POMACE"/>
    <s v="POMACE OLIVE 5 LTR TIN 4 PCS"/>
    <x v="1"/>
    <x v="4"/>
    <n v="20"/>
    <n v="4"/>
    <n v="0"/>
    <n v="0"/>
    <n v="0"/>
    <n v="0"/>
    <n v="0"/>
    <n v="85000"/>
    <n v="21250"/>
    <n v="21250"/>
    <n v="21250"/>
    <n v="21250"/>
    <n v="31000"/>
    <n v="85"/>
    <n v="70"/>
    <n v="155"/>
  </r>
  <r>
    <s v="SANO"/>
    <x v="0"/>
    <x v="0"/>
    <s v="SANO MUSTARD"/>
    <s v="SANO MUSTARD OIL 1 LTR 20 PCS"/>
    <x v="0"/>
    <x v="0"/>
    <n v="20"/>
    <n v="20"/>
    <n v="110000"/>
    <n v="27500"/>
    <n v="27500"/>
    <n v="27500"/>
    <n v="27500"/>
    <n v="0"/>
    <n v="0"/>
    <n v="0"/>
    <n v="0"/>
    <n v="0"/>
    <n v="85000"/>
    <n v="80"/>
    <n v="5"/>
    <n v="85"/>
  </r>
  <r>
    <s v="JIVO"/>
    <x v="0"/>
    <x v="2"/>
    <s v="JIVO SUNFLOWER"/>
    <s v="COLD PRESS SUNFLOWER 5 LTR 4 PCS"/>
    <x v="1"/>
    <x v="3"/>
    <n v="20"/>
    <n v="4"/>
    <n v="15000"/>
    <n v="3750"/>
    <n v="3750"/>
    <n v="3750"/>
    <n v="3750"/>
    <n v="0"/>
    <n v="0"/>
    <n v="0"/>
    <n v="0"/>
    <n v="0"/>
    <n v="23000"/>
    <n v="15"/>
    <n v="75"/>
    <n v="115"/>
  </r>
  <r>
    <s v="JIVO"/>
    <x v="1"/>
    <x v="3"/>
    <s v="JIVO CANOLA"/>
    <s v="COLD PRESS 1 LTR 20 PCS "/>
    <x v="0"/>
    <x v="2"/>
    <n v="20"/>
    <n v="20"/>
    <n v="0"/>
    <n v="0"/>
    <n v="0"/>
    <n v="0"/>
    <n v="0"/>
    <n v="25000"/>
    <n v="6250"/>
    <n v="6250"/>
    <n v="6250"/>
    <n v="6250"/>
    <n v="100000"/>
    <n v="25"/>
    <n v="75"/>
    <n v="100"/>
  </r>
  <r>
    <s v="JIVO"/>
    <x v="1"/>
    <x v="1"/>
    <s v="JIVO GROUNDNUT"/>
    <s v="COLD PRESS GROUNDNUT OIL 5 LTR 4 PCS"/>
    <x v="1"/>
    <x v="3"/>
    <n v="20"/>
    <n v="4"/>
    <n v="0"/>
    <n v="0"/>
    <n v="0"/>
    <n v="0"/>
    <n v="0"/>
    <n v="10000"/>
    <n v="2500"/>
    <n v="2500"/>
    <n v="2500"/>
    <n v="2500"/>
    <n v="20000"/>
    <n v="10"/>
    <n v="90"/>
    <n v="100"/>
  </r>
  <r>
    <s v="JIVO"/>
    <x v="0"/>
    <x v="5"/>
    <s v="JIVO SOYABEAN"/>
    <s v="SOYABEAN OIL 1 LTR POUCH 12 PCS"/>
    <x v="2"/>
    <x v="5"/>
    <n v="12"/>
    <n v="12"/>
    <n v="50000"/>
    <n v="12500"/>
    <n v="12500"/>
    <n v="12500"/>
    <n v="12500"/>
    <n v="0"/>
    <n v="0"/>
    <n v="0"/>
    <n v="0"/>
    <n v="0"/>
    <e v="#VALUE!"/>
    <n v="50"/>
    <n v="50"/>
    <n v="100"/>
  </r>
  <r>
    <s v="JIVO"/>
    <x v="0"/>
    <x v="5"/>
    <s v="JIVO SOYABEAN"/>
    <s v="SOYABEAN OIL 13 KGS (B)"/>
    <x v="3"/>
    <x v="4"/>
    <n v="15"/>
    <n v="1"/>
    <n v="100000"/>
    <n v="25000"/>
    <n v="25000"/>
    <n v="25000"/>
    <n v="25000"/>
    <n v="0"/>
    <n v="0"/>
    <n v="0"/>
    <n v="0"/>
    <n v="0"/>
    <n v="6666.666666666667"/>
    <n v="100"/>
    <n v="0"/>
    <n v="100"/>
  </r>
  <r>
    <s v="JIVO"/>
    <x v="0"/>
    <x v="5"/>
    <s v="JIVO SOYABEAN"/>
    <s v="JIVO SOYABEAN OIL 12 KGS"/>
    <x v="3"/>
    <x v="4"/>
    <n v="15"/>
    <n v="1"/>
    <n v="100000"/>
    <n v="25000"/>
    <n v="25000"/>
    <n v="25000"/>
    <n v="25000"/>
    <n v="0"/>
    <n v="0"/>
    <n v="0"/>
    <n v="0"/>
    <n v="0"/>
    <n v="6666.666666666667"/>
    <n v="100"/>
    <n v="0"/>
    <n v="100"/>
  </r>
  <r>
    <s v="JIVO"/>
    <x v="0"/>
    <x v="5"/>
    <s v="JIVO SOYABEAN"/>
    <s v="SOYABEAN OIL 15 KGS"/>
    <x v="3"/>
    <x v="4"/>
    <n v="15"/>
    <n v="1"/>
    <n v="80000"/>
    <n v="20000"/>
    <n v="20000"/>
    <n v="20000"/>
    <n v="20000"/>
    <n v="0"/>
    <n v="0"/>
    <n v="0"/>
    <n v="0"/>
    <n v="0"/>
    <n v="5333.333333333333"/>
    <n v="80"/>
    <n v="0"/>
    <n v="80"/>
  </r>
  <r>
    <s v="JIVO"/>
    <x v="1"/>
    <x v="6"/>
    <s v="JIVO EL"/>
    <s v="EXTRA LIGHT OLIVE 1 LTR 16 PCS"/>
    <x v="0"/>
    <x v="1"/>
    <n v="16"/>
    <n v="16"/>
    <n v="0"/>
    <n v="0"/>
    <n v="0"/>
    <n v="0"/>
    <n v="0"/>
    <n v="30000"/>
    <n v="7500"/>
    <n v="7500"/>
    <n v="7500"/>
    <n v="7500"/>
    <n v="70000"/>
    <n v="30"/>
    <n v="40"/>
    <n v="70"/>
  </r>
  <r>
    <s v="JIVO"/>
    <x v="1"/>
    <x v="3"/>
    <s v="JIVO CANOLA"/>
    <s v="COLD PRESS 1 LTR 20 PCS (NIRMAL RISHI)"/>
    <x v="0"/>
    <x v="2"/>
    <n v="20"/>
    <n v="20"/>
    <n v="0"/>
    <n v="0"/>
    <n v="0"/>
    <n v="0"/>
    <n v="0"/>
    <n v="60000"/>
    <n v="15000"/>
    <n v="15000"/>
    <n v="15000"/>
    <n v="15000"/>
    <n v="60000"/>
    <n v="60"/>
    <n v="0"/>
    <n v="60"/>
  </r>
  <r>
    <s v="JIVO"/>
    <x v="1"/>
    <x v="3"/>
    <s v="JIVO CANOLA"/>
    <s v="REFINED OIL 15 LTR"/>
    <x v="3"/>
    <x v="4"/>
    <n v="15"/>
    <n v="1"/>
    <n v="0"/>
    <n v="0"/>
    <n v="0"/>
    <n v="0"/>
    <n v="0"/>
    <n v="60000"/>
    <n v="15000"/>
    <n v="15000"/>
    <n v="15000"/>
    <n v="15000"/>
    <n v="4000"/>
    <n v="60"/>
    <n v="0"/>
    <n v="60"/>
  </r>
  <r>
    <s v="JIVO"/>
    <x v="0"/>
    <x v="0"/>
    <s v="JIVO MUSTARD"/>
    <s v="JIVO MUSTARD KACCHI GHANI 869 GMS 20 PCS"/>
    <x v="0"/>
    <x v="0"/>
    <n v="20"/>
    <n v="20"/>
    <n v="60000"/>
    <n v="15000"/>
    <n v="15000"/>
    <n v="15000"/>
    <n v="15000"/>
    <n v="0"/>
    <n v="0"/>
    <n v="0"/>
    <n v="0"/>
    <n v="0"/>
    <n v="60000"/>
    <n v="60"/>
    <n v="0"/>
    <n v="60"/>
  </r>
  <r>
    <s v="SANO"/>
    <x v="1"/>
    <x v="4"/>
    <s v="SANO POMACE"/>
    <s v="SANO POMACE OLIVE 5 LTR TIN 4 PCS"/>
    <x v="1"/>
    <x v="4"/>
    <n v="20"/>
    <n v="4"/>
    <n v="0"/>
    <n v="0"/>
    <n v="0"/>
    <n v="0"/>
    <n v="0"/>
    <n v="35000"/>
    <n v="8750"/>
    <n v="8750"/>
    <n v="8750"/>
    <n v="8750"/>
    <n v="12000"/>
    <n v="35"/>
    <n v="25"/>
    <n v="60"/>
  </r>
  <r>
    <s v="SANO"/>
    <x v="1"/>
    <x v="4"/>
    <s v="SANO POMACE"/>
    <s v="SANO POMACE OLIVE 1 LTR 16 PCS"/>
    <x v="0"/>
    <x v="1"/>
    <n v="16"/>
    <n v="16"/>
    <n v="0"/>
    <n v="0"/>
    <n v="0"/>
    <n v="0"/>
    <n v="0"/>
    <n v="30000"/>
    <n v="7500"/>
    <n v="7500"/>
    <n v="7500"/>
    <n v="7500"/>
    <n v="60000"/>
    <n v="30"/>
    <n v="30"/>
    <n v="60"/>
  </r>
  <r>
    <s v="JIVO"/>
    <x v="0"/>
    <x v="7"/>
    <s v="JIVO GOLD"/>
    <s v="JIVO GOLD 1 LTR 20 PCS"/>
    <x v="0"/>
    <x v="2"/>
    <n v="20"/>
    <n v="20"/>
    <n v="3000"/>
    <n v="750"/>
    <n v="750"/>
    <n v="750"/>
    <n v="750"/>
    <n v="0"/>
    <n v="0"/>
    <n v="0"/>
    <n v="0"/>
    <n v="0"/>
    <n v="33000"/>
    <n v="3"/>
    <n v="30"/>
    <n v="33"/>
  </r>
  <r>
    <s v="JIVO"/>
    <x v="0"/>
    <x v="5"/>
    <s v="JIVO SOYABEAN"/>
    <s v="SOYABEAN OIL 750 GMS 12 PCS POUCH"/>
    <x v="0"/>
    <x v="5"/>
    <n v="12"/>
    <n v="12"/>
    <n v="42000"/>
    <n v="10500"/>
    <n v="10500"/>
    <n v="10500"/>
    <n v="10500"/>
    <n v="0"/>
    <n v="0"/>
    <n v="0"/>
    <n v="0"/>
    <n v="0"/>
    <n v="42000"/>
    <n v="42"/>
    <n v="0"/>
    <n v="42"/>
  </r>
  <r>
    <s v="JIVO"/>
    <x v="0"/>
    <x v="5"/>
    <s v="JIVO SOYABEAN"/>
    <s v="SOYABEAN OIL 700 GMS POUCH 12 PCS"/>
    <x v="0"/>
    <x v="5"/>
    <n v="9.24"/>
    <n v="12"/>
    <n v="42000"/>
    <n v="10500"/>
    <n v="10500"/>
    <n v="10500"/>
    <n v="10500"/>
    <n v="0"/>
    <n v="0"/>
    <n v="0"/>
    <n v="0"/>
    <n v="0"/>
    <n v="42000"/>
    <n v="42"/>
    <n v="0"/>
    <n v="42"/>
  </r>
  <r>
    <s v="JIVO"/>
    <x v="0"/>
    <x v="0"/>
    <s v="MUSTARD PK"/>
    <s v="MUSTARD PAKKI GHANI 1 LTR 20 PCS"/>
    <x v="0"/>
    <x v="0"/>
    <n v="20"/>
    <n v="20"/>
    <n v="40000"/>
    <n v="10000"/>
    <n v="10000"/>
    <n v="10000"/>
    <n v="10000"/>
    <n v="0"/>
    <n v="0"/>
    <n v="0"/>
    <n v="0"/>
    <n v="0"/>
    <n v="40000"/>
    <n v="40"/>
    <n v="0"/>
    <n v="40"/>
  </r>
  <r>
    <s v="JIVO"/>
    <x v="0"/>
    <x v="0"/>
    <s v="JIVO MUSTARD"/>
    <s v="MUSTARD KACCHI GHANI 2 LTR 10 PCS"/>
    <x v="4"/>
    <x v="6"/>
    <n v="20"/>
    <n v="10"/>
    <n v="40000"/>
    <n v="10000"/>
    <n v="10000"/>
    <n v="10000"/>
    <n v="10000"/>
    <n v="0"/>
    <n v="0"/>
    <n v="0"/>
    <n v="0"/>
    <n v="0"/>
    <n v="20000"/>
    <n v="40"/>
    <n v="0"/>
    <n v="40"/>
  </r>
  <r>
    <s v="JIVO"/>
    <x v="1"/>
    <x v="8"/>
    <s v="YELLOW MUSTARD"/>
    <s v="YELLOW MUSTARD OIL 1 LTR 20 PCS"/>
    <x v="0"/>
    <x v="7"/>
    <n v="20"/>
    <n v="20"/>
    <n v="0"/>
    <n v="0"/>
    <n v="0"/>
    <n v="0"/>
    <n v="0"/>
    <n v="25000"/>
    <n v="6250"/>
    <n v="6250"/>
    <n v="6250"/>
    <n v="6250"/>
    <n v="40000"/>
    <n v="25"/>
    <n v="15"/>
    <n v="40"/>
  </r>
  <r>
    <s v="JIVO"/>
    <x v="0"/>
    <x v="0"/>
    <s v="JIVO MUSTARD"/>
    <s v="MUSTARD KACHI GHANI 15 KGS(PRINTED)"/>
    <x v="3"/>
    <x v="4"/>
    <n v="15"/>
    <n v="1"/>
    <n v="35000"/>
    <n v="8750"/>
    <n v="8750"/>
    <n v="8750"/>
    <n v="8750"/>
    <n v="0"/>
    <n v="0"/>
    <n v="0"/>
    <n v="0"/>
    <n v="0"/>
    <n v="2333.3333333333335"/>
    <n v="35"/>
    <n v="0"/>
    <n v="35"/>
  </r>
  <r>
    <s v="JIVO"/>
    <x v="0"/>
    <x v="5"/>
    <s v="JIVO SOYABEAN"/>
    <s v="SOYABEAN OIL 1 LTR 20 PCS"/>
    <x v="0"/>
    <x v="0"/>
    <n v="20"/>
    <n v="20"/>
    <n v="20000"/>
    <n v="5000"/>
    <n v="5000"/>
    <n v="5000"/>
    <n v="5000"/>
    <n v="0"/>
    <n v="0"/>
    <n v="0"/>
    <n v="0"/>
    <n v="0"/>
    <n v="35000"/>
    <n v="20"/>
    <n v="15"/>
    <n v="35"/>
  </r>
  <r>
    <s v="JIVO"/>
    <x v="1"/>
    <x v="3"/>
    <s v="JIVO CANOLA"/>
    <s v="COLD PRESS 1 LTR + 1 LTR COMBO 10 SET "/>
    <x v="4"/>
    <x v="6"/>
    <n v="20"/>
    <n v="10"/>
    <n v="0"/>
    <n v="0"/>
    <n v="0"/>
    <n v="0"/>
    <n v="0"/>
    <n v="30000"/>
    <n v="7500"/>
    <n v="7500"/>
    <n v="7500"/>
    <n v="7500"/>
    <n v="15000"/>
    <n v="30"/>
    <n v="0"/>
    <n v="30"/>
  </r>
  <r>
    <s v="JIVO"/>
    <x v="1"/>
    <x v="6"/>
    <s v="JIVO EL"/>
    <s v="EXTRA LIGHT OLIVE 200 LTR 1 PCS"/>
    <x v="5"/>
    <x v="8"/>
    <n v="200"/>
    <n v="1"/>
    <n v="0"/>
    <n v="0"/>
    <n v="0"/>
    <n v="0"/>
    <n v="0"/>
    <n v="30000"/>
    <n v="7500"/>
    <n v="7500"/>
    <n v="7500"/>
    <n v="7500"/>
    <n v="15000"/>
    <n v="30"/>
    <n v="0"/>
    <n v="30"/>
  </r>
  <r>
    <s v="JIVO"/>
    <x v="0"/>
    <x v="7"/>
    <s v="JIVO GOLD"/>
    <s v="JIVO GOLD 5 LTR 4 PCS"/>
    <x v="1"/>
    <x v="3"/>
    <n v="20"/>
    <n v="4"/>
    <n v="5000"/>
    <n v="1250"/>
    <n v="1250"/>
    <n v="1250"/>
    <n v="1250"/>
    <n v="0"/>
    <n v="0"/>
    <n v="0"/>
    <n v="0"/>
    <n v="0"/>
    <n v="6000"/>
    <n v="5"/>
    <n v="25"/>
    <n v="30"/>
  </r>
  <r>
    <s v="JIVO"/>
    <x v="0"/>
    <x v="0"/>
    <s v="MUSTARD PK"/>
    <s v="MUSTARD PAKKI GHANI 2 LTR 10 PCS"/>
    <x v="4"/>
    <x v="6"/>
    <n v="20"/>
    <n v="10"/>
    <n v="30000"/>
    <n v="7500"/>
    <n v="7500"/>
    <n v="7500"/>
    <n v="7500"/>
    <n v="0"/>
    <n v="0"/>
    <n v="0"/>
    <n v="0"/>
    <n v="0"/>
    <n v="15000"/>
    <n v="30"/>
    <n v="0"/>
    <n v="30"/>
  </r>
  <r>
    <s v="JIVO"/>
    <x v="0"/>
    <x v="5"/>
    <s v="JIVO SOYABEAN"/>
    <s v="SOYABEAN OIL 5 LTR 4 PCS"/>
    <x v="1"/>
    <x v="3"/>
    <n v="20"/>
    <n v="4"/>
    <n v="20000"/>
    <n v="5000"/>
    <n v="5000"/>
    <n v="5000"/>
    <n v="5000"/>
    <n v="0"/>
    <n v="0"/>
    <n v="0"/>
    <n v="0"/>
    <n v="0"/>
    <n v="6000"/>
    <n v="20"/>
    <n v="10"/>
    <n v="30"/>
  </r>
  <r>
    <s v="JIVO"/>
    <x v="0"/>
    <x v="2"/>
    <s v="JIVO SUNFLOWER"/>
    <s v="COLD PRESS SUNFLOWER OIL 15 LTR"/>
    <x v="3"/>
    <x v="4"/>
    <n v="15"/>
    <n v="1"/>
    <n v="30000"/>
    <n v="7500"/>
    <n v="7500"/>
    <n v="7500"/>
    <n v="7500"/>
    <n v="0"/>
    <n v="0"/>
    <n v="0"/>
    <n v="0"/>
    <n v="0"/>
    <n v="2000"/>
    <n v="30"/>
    <n v="0"/>
    <n v="30"/>
  </r>
  <r>
    <s v="JIVO"/>
    <x v="1"/>
    <x v="6"/>
    <s v="JIVO EL"/>
    <s v="EXTRA LIGHT OIVE 2 LTR 10 PCS HANDLE"/>
    <x v="4"/>
    <x v="6"/>
    <n v="20"/>
    <n v="10"/>
    <n v="0"/>
    <n v="0"/>
    <n v="0"/>
    <n v="0"/>
    <n v="0"/>
    <n v="2000"/>
    <n v="500"/>
    <n v="500"/>
    <n v="500"/>
    <n v="500"/>
    <n v="13500"/>
    <n v="2"/>
    <n v="25"/>
    <n v="27"/>
  </r>
  <r>
    <s v="JIVO"/>
    <x v="0"/>
    <x v="9"/>
    <s v="JIVO RICE BRAIN HEALTH"/>
    <s v="RICE BRAN OIL 5 LTR 4 PCS"/>
    <x v="1"/>
    <x v="3"/>
    <n v="20"/>
    <n v="4"/>
    <n v="6000"/>
    <n v="1500"/>
    <n v="1500"/>
    <n v="1500"/>
    <n v="1500"/>
    <n v="0"/>
    <n v="0"/>
    <n v="0"/>
    <n v="0"/>
    <n v="0"/>
    <n v="5200"/>
    <n v="6"/>
    <n v="20"/>
    <n v="26"/>
  </r>
  <r>
    <s v="JIVO"/>
    <x v="1"/>
    <x v="10"/>
    <s v="SESAME"/>
    <s v="SESAME OIL 1 LTR 20 PCS"/>
    <x v="0"/>
    <x v="7"/>
    <n v="16"/>
    <n v="16"/>
    <n v="0"/>
    <n v="0"/>
    <n v="0"/>
    <n v="0"/>
    <n v="0"/>
    <n v="5000"/>
    <n v="1250"/>
    <n v="1250"/>
    <n v="1250"/>
    <n v="1250"/>
    <n v="25000"/>
    <n v="5"/>
    <n v="20"/>
    <n v="25"/>
  </r>
  <r>
    <s v="JIVO"/>
    <x v="1"/>
    <x v="6"/>
    <s v="JIVO EL"/>
    <s v="EXTRA LIGHT OLIVE 5 LTR TIN 4 PCS"/>
    <x v="1"/>
    <x v="4"/>
    <n v="20"/>
    <n v="4"/>
    <n v="0"/>
    <n v="0"/>
    <n v="0"/>
    <n v="0"/>
    <n v="0"/>
    <n v="8000"/>
    <n v="2000"/>
    <n v="2000"/>
    <n v="2000"/>
    <n v="2000"/>
    <n v="4600"/>
    <n v="8"/>
    <n v="15"/>
    <n v="23"/>
  </r>
  <r>
    <s v="JIVO"/>
    <x v="1"/>
    <x v="8"/>
    <s v="YELLOW MUSTARD"/>
    <s v="YELLOW MUSTARD OIL 5 LTR TIN 4 PCS"/>
    <x v="1"/>
    <x v="4"/>
    <n v="20"/>
    <n v="4"/>
    <n v="0"/>
    <n v="0"/>
    <n v="0"/>
    <n v="0"/>
    <n v="0"/>
    <n v="8000"/>
    <n v="2000"/>
    <n v="2000"/>
    <n v="2000"/>
    <n v="2000"/>
    <n v="4600"/>
    <n v="8"/>
    <n v="15"/>
    <n v="23"/>
  </r>
  <r>
    <s v="JIVO"/>
    <x v="1"/>
    <x v="11"/>
    <s v="EXTRA VIRGIN"/>
    <s v="EXTRA VIRGIN OLIVE 1 LTR 16 PCS"/>
    <x v="0"/>
    <x v="1"/>
    <n v="16"/>
    <n v="16"/>
    <n v="0"/>
    <n v="0"/>
    <n v="0"/>
    <n v="0"/>
    <n v="0"/>
    <n v="12000"/>
    <n v="3000"/>
    <n v="3000"/>
    <n v="3000"/>
    <n v="3000"/>
    <n v="22000"/>
    <n v="12"/>
    <n v="10"/>
    <n v="22"/>
  </r>
  <r>
    <s v="JIVO"/>
    <x v="0"/>
    <x v="9"/>
    <s v="JIVO RICE BRAIN HEALTH"/>
    <s v="RICE BRAN OIL 1 LTR 16 PCS"/>
    <x v="0"/>
    <x v="1"/>
    <n v="20"/>
    <n v="20"/>
    <n v="6000"/>
    <n v="1500"/>
    <n v="1500"/>
    <n v="1500"/>
    <n v="1500"/>
    <n v="0"/>
    <n v="0"/>
    <n v="0"/>
    <n v="0"/>
    <n v="0"/>
    <n v="21000"/>
    <n v="6"/>
    <n v="15"/>
    <n v="21"/>
  </r>
  <r>
    <s v="JIVO"/>
    <x v="1"/>
    <x v="1"/>
    <s v="JIVO GROUNDNUT"/>
    <s v="COLD PRESS GROUNDNUT 200 MLS 70 PCS - BH"/>
    <x v="6"/>
    <x v="6"/>
    <e v="#VALUE!"/>
    <n v="70"/>
    <n v="0"/>
    <n v="0"/>
    <n v="0"/>
    <n v="0"/>
    <n v="0"/>
    <n v="0"/>
    <n v="0"/>
    <n v="0"/>
    <n v="0"/>
    <n v="0"/>
    <n v="105000"/>
    <n v="0"/>
    <n v="21"/>
    <n v="21"/>
  </r>
  <r>
    <s v="JIVO"/>
    <x v="1"/>
    <x v="3"/>
    <s v="JIVO CANOLA"/>
    <s v="COLD PRESS 3 LTR 6 PCS"/>
    <x v="7"/>
    <x v="9"/>
    <n v="18"/>
    <n v="6"/>
    <n v="0"/>
    <n v="0"/>
    <n v="0"/>
    <n v="0"/>
    <n v="0"/>
    <n v="20000"/>
    <n v="5000"/>
    <n v="5000"/>
    <n v="5000"/>
    <n v="5000"/>
    <n v="6666.666666666667"/>
    <n v="20"/>
    <n v="0"/>
    <n v="20"/>
  </r>
  <r>
    <s v="JIVO"/>
    <x v="0"/>
    <x v="0"/>
    <s v="JIVO MUSTARD"/>
    <s v="MUSTARD KACHI GHANI 1 LTR 20 PCS ROUND BOTTLE"/>
    <x v="0"/>
    <x v="10"/>
    <n v="20"/>
    <n v="20"/>
    <n v="20000"/>
    <n v="5000"/>
    <n v="5000"/>
    <n v="5000"/>
    <n v="5000"/>
    <n v="0"/>
    <n v="0"/>
    <n v="0"/>
    <n v="0"/>
    <n v="0"/>
    <n v="370000"/>
    <n v="20"/>
    <n v="350"/>
    <n v="370"/>
  </r>
  <r>
    <s v="JIVO"/>
    <x v="0"/>
    <x v="0"/>
    <s v="JIVO MUSTARD"/>
    <s v="MUSTARD KACHHI GHANI 1 LTR POUCH 12 PCS"/>
    <x v="2"/>
    <x v="5"/>
    <n v="12"/>
    <n v="12"/>
    <n v="20000"/>
    <n v="5000"/>
    <n v="5000"/>
    <n v="5000"/>
    <n v="5000"/>
    <n v="0"/>
    <n v="0"/>
    <n v="0"/>
    <n v="0"/>
    <n v="0"/>
    <e v="#VALUE!"/>
    <n v="20"/>
    <n v="0"/>
    <n v="20"/>
  </r>
  <r>
    <s v="JIVO"/>
    <x v="1"/>
    <x v="1"/>
    <s v="JIVO GROUNDNUT"/>
    <s v="COLD PRESS GROUNDNUT OIL 2 LTR 10 PCS HANDLE"/>
    <x v="4"/>
    <x v="6"/>
    <n v="20"/>
    <n v="10"/>
    <n v="0"/>
    <n v="0"/>
    <n v="0"/>
    <n v="0"/>
    <n v="0"/>
    <n v="0"/>
    <n v="0"/>
    <n v="0"/>
    <n v="0"/>
    <n v="0"/>
    <n v="10000"/>
    <n v="0"/>
    <n v="20"/>
    <n v="20"/>
  </r>
  <r>
    <s v="SO OLIVE"/>
    <x v="1"/>
    <x v="12"/>
    <s v="SO OLIVE "/>
    <s v="SO OLIVE OIL 5 LTR 4 PCS"/>
    <x v="1"/>
    <x v="3"/>
    <n v="20"/>
    <n v="4"/>
    <n v="2000"/>
    <n v="500"/>
    <n v="500"/>
    <n v="500"/>
    <n v="500"/>
    <n v="0"/>
    <n v="0"/>
    <n v="0"/>
    <n v="0"/>
    <n v="0"/>
    <n v="3400"/>
    <n v="2"/>
    <n v="15"/>
    <n v="17"/>
  </r>
  <r>
    <s v="SO OLIVE"/>
    <x v="1"/>
    <x v="13"/>
    <s v="SO OLIVE "/>
    <s v="SO OLIVE OIL 1 LTR 16 PCS"/>
    <x v="0"/>
    <x v="1"/>
    <n v="16"/>
    <n v="16"/>
    <n v="0"/>
    <n v="0"/>
    <n v="0"/>
    <n v="0"/>
    <n v="0"/>
    <n v="0"/>
    <n v="0"/>
    <n v="0"/>
    <n v="0"/>
    <n v="0"/>
    <n v="15000"/>
    <n v="0"/>
    <n v="15"/>
    <n v="15"/>
  </r>
  <r>
    <s v="JIVO"/>
    <x v="0"/>
    <x v="0"/>
    <s v="MUSTARD PK"/>
    <s v="MUSTARD PAKKI GHANI 5 LTR 4 PCS"/>
    <x v="1"/>
    <x v="3"/>
    <n v="20"/>
    <n v="4"/>
    <n v="15000"/>
    <n v="3750"/>
    <n v="3750"/>
    <n v="3750"/>
    <n v="3750"/>
    <n v="0"/>
    <n v="0"/>
    <n v="0"/>
    <n v="0"/>
    <n v="0"/>
    <n v="3000"/>
    <n v="15"/>
    <n v="0"/>
    <n v="15"/>
  </r>
  <r>
    <s v="JIVO"/>
    <x v="1"/>
    <x v="3"/>
    <s v="JIVO CANOLA"/>
    <s v="REFINED OIL 1 LTR POUCH 12 PCS (MULTI PACK)"/>
    <x v="2"/>
    <x v="5"/>
    <n v="12"/>
    <n v="12"/>
    <n v="0"/>
    <n v="0"/>
    <n v="0"/>
    <n v="0"/>
    <n v="0"/>
    <n v="2400"/>
    <n v="600"/>
    <n v="600"/>
    <n v="600"/>
    <n v="600"/>
    <e v="#VALUE!"/>
    <n v="2.4"/>
    <n v="8"/>
    <n v="10.4"/>
  </r>
  <r>
    <s v="JIVO"/>
    <x v="0"/>
    <x v="14"/>
    <s v="COTTONSEED"/>
    <s v="REFINED COTTON SEED OIL 15 LTR"/>
    <x v="3"/>
    <x v="4"/>
    <n v="15"/>
    <n v="1"/>
    <n v="10000"/>
    <n v="2500"/>
    <n v="2500"/>
    <n v="2500"/>
    <n v="2500"/>
    <n v="0"/>
    <n v="0"/>
    <n v="0"/>
    <n v="0"/>
    <n v="0"/>
    <n v="666.66666666666663"/>
    <n v="10"/>
    <n v="0"/>
    <n v="10"/>
  </r>
  <r>
    <s v="JIVO"/>
    <x v="0"/>
    <x v="14"/>
    <s v="COTTONSEED"/>
    <s v="REFINED COTTON SEED OIL 13 KGS"/>
    <x v="3"/>
    <x v="4"/>
    <n v="15"/>
    <n v="1"/>
    <n v="10000"/>
    <n v="2500"/>
    <n v="2500"/>
    <n v="2500"/>
    <n v="2500"/>
    <n v="0"/>
    <n v="0"/>
    <n v="0"/>
    <n v="0"/>
    <n v="0"/>
    <n v="666.66666666666663"/>
    <n v="10"/>
    <n v="0"/>
    <n v="10"/>
  </r>
  <r>
    <s v="JIVO"/>
    <x v="1"/>
    <x v="11"/>
    <s v="EXTRA VIRGIN"/>
    <s v="EXTRA VIRGIN OLIVE 5 LTR TIN 4 PCS IMPORTED"/>
    <x v="1"/>
    <x v="4"/>
    <n v="20"/>
    <n v="4"/>
    <n v="0"/>
    <n v="0"/>
    <n v="0"/>
    <n v="0"/>
    <n v="0"/>
    <n v="5000"/>
    <n v="1250"/>
    <n v="1250"/>
    <n v="1250"/>
    <n v="1250"/>
    <n v="2000"/>
    <n v="5"/>
    <n v="5"/>
    <n v="10"/>
  </r>
  <r>
    <s v="JIVO"/>
    <x v="0"/>
    <x v="9"/>
    <s v="JIVO RICE BRAN"/>
    <s v="RICE BRAN OIL 15 KGS"/>
    <x v="3"/>
    <x v="4"/>
    <n v="15"/>
    <n v="1"/>
    <n v="10000"/>
    <n v="2500"/>
    <n v="2500"/>
    <n v="2500"/>
    <n v="2500"/>
    <n v="0"/>
    <n v="0"/>
    <n v="0"/>
    <n v="0"/>
    <n v="0"/>
    <n v="666.66666666666663"/>
    <n v="10"/>
    <n v="0"/>
    <n v="10"/>
  </r>
  <r>
    <s v="JIVO"/>
    <x v="0"/>
    <x v="9"/>
    <s v="JIVO RICE BRAN"/>
    <s v="RICE BRAN OIL 15 LTR"/>
    <x v="3"/>
    <x v="4"/>
    <n v="15"/>
    <n v="1"/>
    <n v="10000"/>
    <n v="2500"/>
    <n v="2500"/>
    <n v="2500"/>
    <n v="2500"/>
    <n v="0"/>
    <n v="0"/>
    <n v="0"/>
    <n v="0"/>
    <n v="0"/>
    <n v="666.66666666666663"/>
    <n v="10"/>
    <n v="0"/>
    <n v="10"/>
  </r>
  <r>
    <s v="JIVO"/>
    <x v="0"/>
    <x v="0"/>
    <s v="JIVO MUSTARD"/>
    <s v="MUSTARD KACCHI GHANI 15 LTR"/>
    <x v="3"/>
    <x v="4"/>
    <n v="15"/>
    <n v="1"/>
    <n v="9000"/>
    <n v="2250"/>
    <n v="2250"/>
    <n v="2250"/>
    <n v="2250"/>
    <n v="0"/>
    <n v="0"/>
    <n v="0"/>
    <n v="0"/>
    <n v="0"/>
    <n v="600"/>
    <n v="9"/>
    <n v="0"/>
    <n v="9"/>
  </r>
  <r>
    <s v="ZANO"/>
    <x v="1"/>
    <x v="4"/>
    <s v="ZANO POMACE"/>
    <s v="ZANO POMACE OLIVE 1 LTR 16 PCS"/>
    <x v="0"/>
    <x v="1"/>
    <n v="16"/>
    <n v="16"/>
    <n v="0"/>
    <n v="0"/>
    <n v="0"/>
    <n v="0"/>
    <n v="0"/>
    <n v="8000"/>
    <n v="2000"/>
    <n v="2000"/>
    <n v="2000"/>
    <n v="2000"/>
    <n v="8000"/>
    <n v="8"/>
    <n v="0"/>
    <n v="8"/>
  </r>
  <r>
    <s v="JIVO"/>
    <x v="1"/>
    <x v="4"/>
    <s v="JIVO POMACE"/>
    <s v="POMACE OLIVE 2 LTR 10 PCS HANDLE"/>
    <x v="4"/>
    <x v="6"/>
    <n v="20"/>
    <n v="10"/>
    <n v="0"/>
    <n v="0"/>
    <n v="0"/>
    <n v="0"/>
    <n v="0"/>
    <n v="0"/>
    <n v="0"/>
    <n v="0"/>
    <n v="0"/>
    <n v="0"/>
    <n v="4000"/>
    <n v="0"/>
    <n v="8"/>
    <n v="8"/>
  </r>
  <r>
    <s v="JIVO"/>
    <x v="1"/>
    <x v="15"/>
    <s v="EV COCONUT"/>
    <s v="EXTRA VIRGIN COCONUT OIL 1 LTR 16 PCS"/>
    <x v="0"/>
    <x v="1"/>
    <n v="16"/>
    <n v="16"/>
    <n v="0"/>
    <n v="0"/>
    <n v="0"/>
    <n v="0"/>
    <n v="0"/>
    <n v="1000"/>
    <n v="250"/>
    <n v="250"/>
    <n v="250"/>
    <n v="250"/>
    <n v="6000"/>
    <n v="1"/>
    <n v="5"/>
    <n v="6"/>
  </r>
  <r>
    <s v="JIVO"/>
    <x v="1"/>
    <x v="3"/>
    <s v="JIVO CANOLA"/>
    <s v="REFINED OIL 1000 MLS"/>
    <x v="0"/>
    <x v="2"/>
    <n v="20"/>
    <n v="1"/>
    <n v="0"/>
    <n v="0"/>
    <n v="0"/>
    <n v="0"/>
    <n v="0"/>
    <n v="6000"/>
    <n v="6000"/>
    <n v="0"/>
    <n v="0"/>
    <n v="0"/>
    <n v="6000"/>
    <n v="6"/>
    <n v="0"/>
    <n v="6"/>
  </r>
  <r>
    <s v="JIVO"/>
    <x v="1"/>
    <x v="3"/>
    <s v="JIVO CANOLA"/>
    <s v="REFINED OIL 2 LTR"/>
    <x v="4"/>
    <x v="6"/>
    <n v="20"/>
    <n v="1"/>
    <n v="0"/>
    <n v="0"/>
    <n v="0"/>
    <n v="0"/>
    <n v="0"/>
    <n v="6000"/>
    <n v="6000"/>
    <n v="0"/>
    <n v="0"/>
    <n v="0"/>
    <n v="3000"/>
    <n v="6"/>
    <n v="0"/>
    <n v="6"/>
  </r>
  <r>
    <s v="JIVO"/>
    <x v="1"/>
    <x v="3"/>
    <s v="JIVO CANOLA"/>
    <s v="REFINED OIL 5 LTR"/>
    <x v="1"/>
    <x v="3"/>
    <n v="20"/>
    <n v="1"/>
    <n v="0"/>
    <n v="0"/>
    <n v="0"/>
    <n v="0"/>
    <n v="0"/>
    <n v="6000"/>
    <n v="6000"/>
    <n v="0"/>
    <n v="0"/>
    <n v="0"/>
    <n v="1200"/>
    <n v="6"/>
    <n v="0"/>
    <n v="6"/>
  </r>
  <r>
    <s v="JIVO"/>
    <x v="1"/>
    <x v="4"/>
    <s v="JIVO POMACE"/>
    <s v="POMACE OLIVE 3 LTR TIN 6 PCS"/>
    <x v="7"/>
    <x v="4"/>
    <n v="18"/>
    <n v="6"/>
    <n v="0"/>
    <n v="0"/>
    <n v="0"/>
    <n v="0"/>
    <n v="0"/>
    <n v="0"/>
    <n v="0"/>
    <n v="0"/>
    <n v="0"/>
    <n v="0"/>
    <n v="2000"/>
    <n v="0"/>
    <n v="6"/>
    <n v="6"/>
  </r>
  <r>
    <s v="JIVO"/>
    <x v="1"/>
    <x v="3"/>
    <s v="JIVO CANOLA"/>
    <s v="COLD PRESS 1 LTR +1 LTR COMBO 10 SET PLAIN"/>
    <x v="4"/>
    <x v="6"/>
    <n v="20"/>
    <n v="10"/>
    <n v="0"/>
    <n v="0"/>
    <n v="0"/>
    <n v="0"/>
    <n v="0"/>
    <n v="0"/>
    <n v="0"/>
    <n v="0"/>
    <n v="0"/>
    <n v="0"/>
    <n v="2500"/>
    <n v="0"/>
    <n v="5"/>
    <n v="5"/>
  </r>
  <r>
    <s v="JIVO"/>
    <x v="1"/>
    <x v="3"/>
    <s v="JIVO CANOLA"/>
    <s v="COLD PRESS 2 LTR 10 PCS HANDLE"/>
    <x v="4"/>
    <x v="6"/>
    <n v="20"/>
    <n v="10"/>
    <n v="0"/>
    <n v="0"/>
    <n v="0"/>
    <n v="0"/>
    <n v="0"/>
    <n v="5000"/>
    <n v="1250"/>
    <n v="1250"/>
    <n v="1250"/>
    <n v="1250"/>
    <n v="2500"/>
    <n v="5"/>
    <n v="0"/>
    <n v="5"/>
  </r>
  <r>
    <s v="JIVO"/>
    <x v="1"/>
    <x v="3"/>
    <s v="JIVO CANOLA"/>
    <s v="COLD PRESS 500 MLS 24 PCS"/>
    <x v="8"/>
    <x v="6"/>
    <e v="#VALUE!"/>
    <n v="24"/>
    <n v="0"/>
    <n v="0"/>
    <n v="0"/>
    <n v="0"/>
    <n v="0"/>
    <n v="0"/>
    <n v="0"/>
    <n v="0"/>
    <n v="0"/>
    <n v="0"/>
    <n v="10000"/>
    <n v="0"/>
    <n v="5"/>
    <n v="5"/>
  </r>
  <r>
    <s v="SANO"/>
    <x v="1"/>
    <x v="4"/>
    <s v="SANO POMACE"/>
    <s v="SANO POMACE OLIVE OIL 15 L"/>
    <x v="3"/>
    <x v="4"/>
    <n v="15"/>
    <n v="1"/>
    <n v="0"/>
    <n v="0"/>
    <n v="0"/>
    <n v="0"/>
    <n v="0"/>
    <n v="5000"/>
    <n v="1250"/>
    <n v="1250"/>
    <n v="1250"/>
    <n v="1250"/>
    <n v="333.33333333333331"/>
    <n v="5"/>
    <n v="0"/>
    <n v="5"/>
  </r>
  <r>
    <s v="SANO"/>
    <x v="1"/>
    <x v="4"/>
    <s v="JIVO POMACE"/>
    <s v="SANO POMACE OLIVE 200 LTR 1 PCS"/>
    <x v="5"/>
    <x v="8"/>
    <n v="200"/>
    <n v="1"/>
    <n v="0"/>
    <n v="0"/>
    <n v="0"/>
    <n v="0"/>
    <n v="0"/>
    <n v="5000"/>
    <n v="1250"/>
    <n v="1250"/>
    <n v="1250"/>
    <n v="1250"/>
    <n v="2500"/>
    <n v="5"/>
    <n v="0"/>
    <n v="5"/>
  </r>
  <r>
    <s v="JIVO"/>
    <x v="1"/>
    <x v="10"/>
    <s v="SESAME"/>
    <s v="SESAME OIL 500 MLS 12 PCS"/>
    <x v="8"/>
    <x v="6"/>
    <e v="#VALUE!"/>
    <n v="12"/>
    <n v="0"/>
    <n v="0"/>
    <n v="0"/>
    <n v="0"/>
    <n v="0"/>
    <n v="0"/>
    <n v="0"/>
    <n v="0"/>
    <n v="0"/>
    <n v="0"/>
    <n v="10000"/>
    <n v="0"/>
    <n v="5"/>
    <n v="5"/>
  </r>
  <r>
    <s v="JIVO"/>
    <x v="1"/>
    <x v="0"/>
    <s v=" MUSTARD"/>
    <s v="FIRST PRESSED MUSTARD OIL 1 LTR 20 PCS"/>
    <x v="0"/>
    <x v="7"/>
    <n v="20"/>
    <n v="20"/>
    <n v="0"/>
    <n v="0"/>
    <n v="0"/>
    <n v="0"/>
    <n v="0"/>
    <n v="0"/>
    <n v="0"/>
    <n v="0"/>
    <n v="0"/>
    <n v="0"/>
    <n v="5000"/>
    <n v="0"/>
    <n v="5"/>
    <n v="5"/>
  </r>
  <r>
    <s v="JIVO"/>
    <x v="1"/>
    <x v="2"/>
    <s v="JIVO SUNFLOWER"/>
    <s v="FIRST PRESSED SUNFLOWER OIL 1 LTR 20 PCS"/>
    <x v="0"/>
    <x v="7"/>
    <n v="20"/>
    <n v="20"/>
    <n v="0"/>
    <n v="0"/>
    <n v="0"/>
    <n v="0"/>
    <n v="0"/>
    <n v="0"/>
    <n v="0"/>
    <n v="0"/>
    <n v="0"/>
    <n v="0"/>
    <n v="5000"/>
    <n v="0"/>
    <n v="5"/>
    <n v="5"/>
  </r>
  <r>
    <s v="JIVO"/>
    <x v="0"/>
    <x v="0"/>
    <s v=" MUSTARD"/>
    <s v="MUSTARD KACHI GHANI 200 ML 35 PCS"/>
    <x v="6"/>
    <x v="6"/>
    <e v="#VALUE!"/>
    <n v="35"/>
    <n v="0"/>
    <n v="0"/>
    <n v="0"/>
    <n v="0"/>
    <n v="0"/>
    <n v="0"/>
    <n v="0"/>
    <n v="0"/>
    <n v="0"/>
    <n v="0"/>
    <n v="25000"/>
    <n v="0"/>
    <n v="5"/>
    <n v="5"/>
  </r>
  <r>
    <s v="JIVO"/>
    <x v="0"/>
    <x v="0"/>
    <s v=" MUSTARD"/>
    <s v="MUSTARD KACHI GHANI 500 ML 24 PCS"/>
    <x v="8"/>
    <x v="6"/>
    <e v="#VALUE!"/>
    <n v="24"/>
    <n v="0"/>
    <n v="0"/>
    <n v="0"/>
    <n v="0"/>
    <n v="0"/>
    <n v="0"/>
    <n v="0"/>
    <n v="0"/>
    <n v="0"/>
    <n v="0"/>
    <n v="10000"/>
    <n v="0"/>
    <n v="5"/>
    <n v="5"/>
  </r>
  <r>
    <s v="JIVO"/>
    <x v="0"/>
    <x v="2"/>
    <s v="JIVO SUNFLOWER"/>
    <s v="COLD PRESS SUNFLOWER OIL 200 ML 35 PCS"/>
    <x v="6"/>
    <x v="6"/>
    <e v="#VALUE!"/>
    <n v="35"/>
    <n v="0"/>
    <n v="0"/>
    <n v="0"/>
    <n v="0"/>
    <n v="0"/>
    <n v="0"/>
    <n v="0"/>
    <n v="0"/>
    <n v="0"/>
    <n v="0"/>
    <n v="25000"/>
    <n v="0"/>
    <n v="5"/>
    <n v="5"/>
  </r>
  <r>
    <s v="JIVO"/>
    <x v="1"/>
    <x v="1"/>
    <s v="JIVO GROUNDNUT"/>
    <s v="COLD PRESS GROUNDNUT 500 MLS 24 PCS"/>
    <x v="8"/>
    <x v="6"/>
    <e v="#VALUE!"/>
    <n v="24"/>
    <n v="0"/>
    <n v="0"/>
    <n v="0"/>
    <n v="0"/>
    <n v="0"/>
    <n v="0"/>
    <n v="0"/>
    <n v="0"/>
    <n v="0"/>
    <n v="0"/>
    <n v="10000"/>
    <n v="0"/>
    <n v="5"/>
    <n v="5"/>
  </r>
  <r>
    <s v="LA RASOI"/>
    <x v="0"/>
    <x v="0"/>
    <s v="LA RASOI MUSTARD"/>
    <s v="LA RASOI COLD PRESSED MUSTARD KACHI GHANI OIL 2 LTR 10 PCS HANDLE"/>
    <x v="4"/>
    <x v="6"/>
    <n v="20"/>
    <n v="10"/>
    <n v="4000"/>
    <n v="1000"/>
    <n v="1000"/>
    <n v="1000"/>
    <n v="1000"/>
    <n v="0"/>
    <n v="0"/>
    <n v="0"/>
    <n v="0"/>
    <n v="0"/>
    <n v="2000"/>
    <n v="4"/>
    <n v="0"/>
    <n v="4"/>
  </r>
  <r>
    <s v="JIVO"/>
    <x v="1"/>
    <x v="6"/>
    <s v="EXTRA LIGHT"/>
    <s v="EXTRA LIGHT OLIVE 3 LTR TIN 6 PCS"/>
    <x v="7"/>
    <x v="4"/>
    <n v="18"/>
    <n v="6"/>
    <n v="0"/>
    <n v="0"/>
    <n v="0"/>
    <n v="0"/>
    <n v="0"/>
    <n v="0"/>
    <n v="0"/>
    <n v="0"/>
    <n v="0"/>
    <n v="0"/>
    <n v="1000"/>
    <n v="0"/>
    <n v="3"/>
    <n v="3"/>
  </r>
  <r>
    <s v="ZANO"/>
    <x v="1"/>
    <x v="11"/>
    <s v="ZANO EXTRA VIRGIN"/>
    <s v="ZANO EXTRA VIRGIN OLIVE1 LTR 16 PCS"/>
    <x v="0"/>
    <x v="1"/>
    <n v="16"/>
    <n v="16"/>
    <n v="0"/>
    <n v="0"/>
    <n v="0"/>
    <n v="0"/>
    <n v="0"/>
    <n v="3000"/>
    <n v="750"/>
    <n v="750"/>
    <n v="750"/>
    <n v="750"/>
    <n v="3000"/>
    <n v="3"/>
    <n v="0"/>
    <n v="3"/>
  </r>
  <r>
    <s v="JIVO"/>
    <x v="0"/>
    <x v="0"/>
    <s v="JIVO MUSTARD"/>
    <s v="MUSTARD KACCHI GHANI 3 LTR 6 PCS"/>
    <x v="7"/>
    <x v="9"/>
    <n v="18"/>
    <n v="6"/>
    <n v="3000"/>
    <n v="750"/>
    <n v="750"/>
    <n v="750"/>
    <n v="750"/>
    <n v="0"/>
    <n v="0"/>
    <n v="0"/>
    <n v="0"/>
    <n v="0"/>
    <n v="1000"/>
    <n v="3"/>
    <n v="0"/>
    <n v="3"/>
  </r>
  <r>
    <s v="JIVO"/>
    <x v="1"/>
    <x v="11"/>
    <s v="EXTRA VIRGIN"/>
    <s v="EXTRA VIRGIN 2 LTR 10 PCS HANDLE"/>
    <x v="4"/>
    <x v="6"/>
    <n v="20"/>
    <n v="10"/>
    <n v="0"/>
    <n v="0"/>
    <n v="0"/>
    <n v="0"/>
    <n v="0"/>
    <n v="0"/>
    <n v="0"/>
    <n v="0"/>
    <n v="0"/>
    <n v="0"/>
    <n v="1000"/>
    <n v="0"/>
    <n v="2"/>
    <n v="2"/>
  </r>
  <r>
    <s v="SANO"/>
    <x v="0"/>
    <x v="0"/>
    <s v="SANO MUSTARD"/>
    <s v="SANO MUSTARD OIL 5 LTR 4 PCS"/>
    <x v="1"/>
    <x v="3"/>
    <n v="20"/>
    <n v="4"/>
    <n v="2000"/>
    <n v="500"/>
    <n v="500"/>
    <n v="500"/>
    <n v="500"/>
    <n v="0"/>
    <n v="0"/>
    <n v="0"/>
    <n v="0"/>
    <n v="0"/>
    <n v="400"/>
    <n v="2"/>
    <n v="0"/>
    <n v="2"/>
  </r>
  <r>
    <s v="JIVO "/>
    <x v="1"/>
    <x v="3"/>
    <s v="EXTRA VIRGIN"/>
    <s v="JIVO EXTRA VIRGIN COCONUT OIL 1 LTR 16 PCS ( CSD )"/>
    <x v="0"/>
    <x v="1"/>
    <n v="16"/>
    <n v="16"/>
    <n v="0"/>
    <n v="0"/>
    <n v="0"/>
    <n v="0"/>
    <n v="0"/>
    <n v="2000"/>
    <n v="2000"/>
    <n v="0"/>
    <n v="0"/>
    <n v="0"/>
    <n v="2000"/>
    <n v="2"/>
    <n v="0"/>
    <n v="2"/>
  </r>
  <r>
    <s v="JIVO"/>
    <x v="1"/>
    <x v="3"/>
    <s v="EXTRA LIGHT"/>
    <s v="EXTRA LIGHT OLIVE 250 MLS 4 PCS"/>
    <x v="0"/>
    <x v="1"/>
    <n v="1"/>
    <n v="4"/>
    <n v="0"/>
    <n v="0"/>
    <n v="0"/>
    <n v="0"/>
    <n v="0"/>
    <n v="1000"/>
    <n v="1000"/>
    <n v="0"/>
    <n v="0"/>
    <n v="0"/>
    <n v="1000"/>
    <n v="1"/>
    <n v="0"/>
    <n v="1"/>
  </r>
  <r>
    <s v="JIVO"/>
    <x v="1"/>
    <x v="3"/>
    <s v="EXTRA LIGHT"/>
    <s v="EXTRA LIGHT OLIVE 100 MLS 10 PCS"/>
    <x v="0"/>
    <x v="1"/>
    <n v="1"/>
    <n v="10"/>
    <n v="0"/>
    <n v="0"/>
    <n v="0"/>
    <n v="0"/>
    <n v="0"/>
    <n v="1000"/>
    <n v="1000"/>
    <n v="0"/>
    <n v="0"/>
    <n v="0"/>
    <n v="1000"/>
    <n v="1"/>
    <n v="0"/>
    <n v="1"/>
  </r>
  <r>
    <s v="JIVO"/>
    <x v="1"/>
    <x v="10"/>
    <s v="SESAME"/>
    <s v="SESAME OIL (TOASTED) 500 MLS 12 PCS"/>
    <x v="8"/>
    <x v="6"/>
    <e v="#VALUE!"/>
    <n v="12"/>
    <n v="0"/>
    <n v="0"/>
    <n v="0"/>
    <n v="0"/>
    <n v="0"/>
    <n v="1000"/>
    <n v="250"/>
    <n v="250"/>
    <n v="250"/>
    <n v="250"/>
    <n v="2000"/>
    <n v="1"/>
    <n v="0"/>
    <n v="1"/>
  </r>
  <r>
    <s v="JIVO "/>
    <x v="1"/>
    <x v="3"/>
    <s v="EXTRA LIGHT"/>
    <s v="JIVO EXTRA LIGHT OLIVE OIL 1 LTR 16 PCS ( CSD )"/>
    <x v="0"/>
    <x v="1"/>
    <n v="16"/>
    <n v="16"/>
    <n v="0"/>
    <n v="0"/>
    <n v="0"/>
    <n v="0"/>
    <n v="0"/>
    <n v="1000"/>
    <n v="1000"/>
    <n v="0"/>
    <n v="0"/>
    <n v="0"/>
    <n v="1000"/>
    <n v="1"/>
    <n v="0"/>
    <n v="1"/>
  </r>
  <r>
    <s v="JIVO "/>
    <x v="1"/>
    <x v="3"/>
    <s v="EXTRA VIRGIN"/>
    <s v="JIVO EXTRA VIRGIN OLIVE OIL 1 LTR 16 PCS ( CSD )"/>
    <x v="0"/>
    <x v="1"/>
    <n v="16"/>
    <n v="16"/>
    <n v="0"/>
    <n v="0"/>
    <n v="0"/>
    <n v="0"/>
    <n v="0"/>
    <n v="1000"/>
    <n v="1000"/>
    <n v="0"/>
    <n v="0"/>
    <n v="0"/>
    <n v="1000"/>
    <n v="1"/>
    <n v="0"/>
    <n v="1"/>
  </r>
  <r>
    <s v="JIVO"/>
    <x v="1"/>
    <x v="4"/>
    <s v="POMACE"/>
    <s v="POMACE OLIVE 200 LTR 1 PCS"/>
    <x v="5"/>
    <x v="8"/>
    <e v="#VALUE!"/>
    <n v="1"/>
    <n v="0"/>
    <n v="0"/>
    <n v="0"/>
    <n v="0"/>
    <n v="0"/>
    <n v="1000"/>
    <n v="250"/>
    <n v="250"/>
    <n v="250"/>
    <n v="250"/>
    <n v="500"/>
    <n v="1"/>
    <n v="0"/>
    <n v="1"/>
  </r>
  <r>
    <s v="JIVO "/>
    <x v="1"/>
    <x v="3"/>
    <s v="EXTRA VIRGIN"/>
    <s v="JIVO EXTRA VIRGIN OLIVE OIL 500 MLS 24 PCS ( CSD )"/>
    <x v="8"/>
    <x v="6"/>
    <e v="#VALUE!"/>
    <n v="20"/>
    <n v="0"/>
    <n v="0"/>
    <n v="0"/>
    <n v="0"/>
    <n v="0"/>
    <n v="1000"/>
    <n v="1000"/>
    <n v="0"/>
    <n v="0"/>
    <n v="0"/>
    <n v="2000"/>
    <n v="1"/>
    <n v="0"/>
    <n v="1"/>
  </r>
  <r>
    <s v="JIVO"/>
    <x v="1"/>
    <x v="15"/>
    <s v="EV COCONUT"/>
    <s v="EXTRA VIRGIN COCONUT OIL 500 MLS 24 PCS"/>
    <x v="8"/>
    <x v="6"/>
    <e v="#VALUE!"/>
    <n v="24"/>
    <n v="0"/>
    <n v="0"/>
    <n v="0"/>
    <n v="0"/>
    <n v="0"/>
    <n v="500"/>
    <n v="125"/>
    <n v="125"/>
    <n v="125"/>
    <n v="125"/>
    <n v="1000"/>
    <n v="0.5"/>
    <n v="0"/>
    <n v="0.5"/>
  </r>
  <r>
    <s v="JIVO"/>
    <x v="1"/>
    <x v="6"/>
    <s v="JIVO EL"/>
    <s v="EXTRA LIGHT OLIVE 500 MLS 24 PCS"/>
    <x v="8"/>
    <x v="6"/>
    <e v="#VALUE!"/>
    <n v="24"/>
    <n v="0"/>
    <n v="0"/>
    <n v="0"/>
    <n v="0"/>
    <n v="0"/>
    <n v="500"/>
    <n v="125"/>
    <n v="125"/>
    <n v="125"/>
    <n v="125"/>
    <n v="1000"/>
    <n v="0.5"/>
    <n v="0"/>
    <n v="0.5"/>
  </r>
  <r>
    <s v="JIVO"/>
    <x v="1"/>
    <x v="11"/>
    <s v="EXTRA VIRGIN"/>
    <s v="EXTRA VIRGIN OLIVE 250 MLS 4 PCS"/>
    <x v="6"/>
    <x v="6"/>
    <e v="#VALUE!"/>
    <n v="4"/>
    <n v="0"/>
    <n v="0"/>
    <n v="0"/>
    <n v="0"/>
    <n v="0"/>
    <n v="500"/>
    <n v="125"/>
    <n v="125"/>
    <n v="125"/>
    <n v="125"/>
    <n v="2000"/>
    <n v="0.5"/>
    <n v="0"/>
    <n v="0.5"/>
  </r>
  <r>
    <s v="JIVO"/>
    <x v="1"/>
    <x v="11"/>
    <s v="EXTRA VIRGIN"/>
    <s v="EXTRA VIRGIN OLIVE 500 MLS 24 PCS"/>
    <x v="8"/>
    <x v="6"/>
    <e v="#VALUE!"/>
    <n v="12"/>
    <n v="0"/>
    <n v="0"/>
    <n v="0"/>
    <n v="0"/>
    <n v="0"/>
    <n v="500"/>
    <n v="125"/>
    <n v="125"/>
    <n v="125"/>
    <n v="125"/>
    <n v="1000"/>
    <n v="0.5"/>
    <n v="0"/>
    <n v="0.5"/>
  </r>
  <r>
    <s v="JIVO "/>
    <x v="1"/>
    <x v="3"/>
    <s v="POMACE"/>
    <s v="JIVO POMACE OLIVE OIL 1 LTR 16 PCS ( CSD )"/>
    <x v="0"/>
    <x v="1"/>
    <n v="24"/>
    <n v="24"/>
    <n v="0"/>
    <n v="0"/>
    <n v="0"/>
    <n v="0"/>
    <n v="0"/>
    <n v="500"/>
    <n v="500"/>
    <n v="0"/>
    <n v="0"/>
    <n v="0"/>
    <n v="500"/>
    <n v="0.5"/>
    <n v="0"/>
    <n v="0.5"/>
  </r>
  <r>
    <s v="JIVO"/>
    <x v="1"/>
    <x v="15"/>
    <s v="COCONUT"/>
    <s v="EXTRA VIRGIN COCONUT OIL 200 MLS 6 PCS"/>
    <x v="6"/>
    <x v="6"/>
    <e v="#VALUE!"/>
    <n v="6"/>
    <n v="0"/>
    <n v="0"/>
    <n v="0"/>
    <n v="0"/>
    <n v="0"/>
    <n v="500"/>
    <n v="125"/>
    <n v="125"/>
    <n v="125"/>
    <n v="125"/>
    <n v="2500"/>
    <n v="0.5"/>
    <n v="0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EAE94-C33A-440A-8C24-30C8B3B147C7}" name="PivotTable1" cacheId="0" applyNumberFormats="0" applyBorderFormats="0" applyFontFormats="0" applyPatternFormats="0" applyAlignmentFormats="0" applyWidthHeightFormats="1" dataCaption="Values" grandTotalCaption="'GRAND TOTAL" updatedVersion="8" minRefreshableVersion="3" useAutoFormatting="1" itemPrintTitles="1" createdVersion="8" indent="0" outline="1" outlineData="1" multipleFieldFilters="0" rowHeaderCaption="PACK SIZE" colHeaderCaption=".">
  <location ref="A3:G13" firstHeaderRow="1" firstDataRow="3" firstDataCol="1"/>
  <pivotFields count="25">
    <pivotField showAll="0"/>
    <pivotField axis="axisCol" showAll="0">
      <items count="3">
        <item x="1"/>
        <item sd="0" x="0"/>
        <item t="default" sd="0"/>
      </items>
    </pivotField>
    <pivotField axis="axisRow" showAll="0" sortType="descending">
      <items count="18">
        <item x="13"/>
        <item x="3"/>
        <item x="15"/>
        <item x="14"/>
        <item m="1" x="16"/>
        <item x="6"/>
        <item x="11"/>
        <item x="7"/>
        <item x="1"/>
        <item x="0"/>
        <item x="12"/>
        <item x="4"/>
        <item x="9"/>
        <item x="10"/>
        <item x="5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21">
        <item sd="0" m="1" x="9"/>
        <item sd="0" m="1" x="11"/>
        <item sd="0" m="1" x="10"/>
        <item sd="0" m="1" x="14"/>
        <item sd="0" m="1" x="13"/>
        <item sd="0" x="0"/>
        <item sd="0" x="4"/>
        <item sd="0" x="7"/>
        <item sd="0" x="1"/>
        <item h="1" sd="0" m="1" x="16"/>
        <item h="1" sd="0" m="1" x="19"/>
        <item h="1" sd="0" m="1" x="15"/>
        <item h="1" sd="0" x="3"/>
        <item h="1" sd="0" m="1" x="18"/>
        <item h="1" sd="0" m="1" x="17"/>
        <item h="1" sd="0" m="1" x="12"/>
        <item h="1" sd="0" x="5"/>
        <item sd="0" x="6"/>
        <item sd="0" x="8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3">
        <item sd="0" x="8"/>
        <item sd="0" m="1" x="11"/>
        <item sd="0" x="6"/>
        <item sd="0" x="10"/>
        <item sd="0" x="0"/>
        <item sd="0" x="2"/>
        <item sd="0" x="1"/>
        <item sd="0" x="7"/>
        <item sd="0" x="5"/>
        <item sd="0" x="4"/>
        <item sd="0" x="3"/>
        <item sd="0" x="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3">
    <field x="5"/>
    <field x="6"/>
    <field x="2"/>
  </rowFields>
  <rowItems count="8">
    <i>
      <x v="5"/>
    </i>
    <i>
      <x v="8"/>
    </i>
    <i>
      <x v="6"/>
    </i>
    <i>
      <x v="19"/>
    </i>
    <i>
      <x v="7"/>
    </i>
    <i>
      <x v="17"/>
    </i>
    <i>
      <x v="18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PLANNING" fld="22" baseField="0" baseItem="0" numFmtId="167"/>
    <dataField name="PROD. CAPACITY" fld="24" baseField="0" baseItem="0" numFmtId="167"/>
  </dataFields>
  <formats count="49"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outline="0" collapsedLevelsAreSubtotals="1" fieldPosition="0"/>
    </format>
    <format dxfId="48">
      <pivotArea field="5" type="button" dataOnly="0" labelOnly="1" outline="0" axis="axisRow" fieldPosition="0"/>
    </format>
    <format dxfId="47">
      <pivotArea dataOnly="0" labelOnly="1" fieldPosition="0">
        <references count="1">
          <reference field="5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Col="1" outline="0" fieldPosition="0"/>
    </format>
    <format dxfId="43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42">
      <pivotArea dataOnly="0" labelOnly="1" outline="0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41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0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">
      <pivotArea outline="0" collapsedLevelsAreSubtotals="1" fieldPosition="0"/>
    </format>
    <format dxfId="38">
      <pivotArea type="origin" dataOnly="0" labelOnly="1" outline="0" offset="A2" fieldPosition="0"/>
    </format>
    <format dxfId="37">
      <pivotArea field="5" type="button" dataOnly="0" labelOnly="1" outline="0" axis="axisRow" fieldPosition="0"/>
    </format>
    <format dxfId="36">
      <pivotArea dataOnly="0" labelOnly="1" fieldPosition="0">
        <references count="1">
          <reference field="5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29">
      <pivotArea dataOnly="0" labelOnly="1" fieldPosition="0">
        <references count="1">
          <reference field="1" count="0"/>
        </references>
      </pivotArea>
    </format>
    <format dxfId="2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24">
      <pivotArea dataOnly="0" labelOnly="1" fieldPosition="0">
        <references count="1">
          <reference field="1" count="0"/>
        </references>
      </pivotArea>
    </format>
    <format dxfId="2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8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7">
      <pivotArea collapsedLevelsAreSubtotals="1" fieldPosition="0">
        <references count="1">
          <reference field="5" count="1">
            <x v="8"/>
          </reference>
        </references>
      </pivotArea>
    </format>
    <format dxfId="16">
      <pivotArea collapsedLevelsAreSubtotals="1" fieldPosition="0">
        <references count="1">
          <reference field="5" count="1">
            <x v="19"/>
          </reference>
        </references>
      </pivotArea>
    </format>
    <format dxfId="15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0"/>
          </reference>
          <reference field="5" count="1">
            <x v="5"/>
          </reference>
        </references>
      </pivotArea>
    </format>
    <format dxfId="14">
      <pivotArea dataOnly="0" labelOnly="1" fieldPosition="0">
        <references count="1">
          <reference field="5" count="1">
            <x v="5"/>
          </reference>
        </references>
      </pivotArea>
    </format>
    <format dxfId="13">
      <pivotArea collapsedLevelsAreSubtotals="1" fieldPosition="0">
        <references count="1">
          <reference field="5" count="1">
            <x v="6"/>
          </reference>
        </references>
      </pivotArea>
    </format>
    <format dxfId="12">
      <pivotArea dataOnly="0" labelOnly="1" fieldPosition="0">
        <references count="1">
          <reference field="5" count="1">
            <x v="6"/>
          </reference>
        </references>
      </pivotArea>
    </format>
    <format dxfId="11">
      <pivotArea collapsedLevelsAreSubtotals="1" fieldPosition="0">
        <references count="1">
          <reference field="5" count="1">
            <x v="7"/>
          </reference>
        </references>
      </pivotArea>
    </format>
    <format dxfId="10">
      <pivotArea dataOnly="0" labelOnly="1" fieldPosition="0">
        <references count="1">
          <reference field="5" count="1">
            <x v="7"/>
          </reference>
        </references>
      </pivotArea>
    </format>
    <format dxfId="9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1"/>
          </reference>
          <reference field="5" count="1">
            <x v="5"/>
          </reference>
        </references>
      </pivotArea>
    </format>
    <format dxfId="8">
      <pivotArea collapsedLevelsAreSubtotals="1" fieldPosition="0">
        <references count="1">
          <reference field="5" count="1">
            <x v="17"/>
          </reference>
        </references>
      </pivotArea>
    </format>
    <format dxfId="7">
      <pivotArea collapsedLevelsAreSubtotals="1" fieldPosition="0">
        <references count="1">
          <reference field="5" count="1">
            <x v="18"/>
          </reference>
        </references>
      </pivotArea>
    </format>
    <format dxfId="6">
      <pivotArea dataOnly="0" labelOnly="1" fieldPosition="0">
        <references count="1">
          <reference field="5" count="2">
            <x v="17"/>
            <x v="18"/>
          </reference>
        </references>
      </pivotArea>
    </format>
    <format dxfId="5">
      <pivotArea dataOnly="0" labelOnly="1" fieldPosition="0">
        <references count="1">
          <reference field="5" count="1">
            <x v="8"/>
          </reference>
        </references>
      </pivotArea>
    </format>
    <format dxfId="4">
      <pivotArea dataOnly="0" labelOnly="1" fieldPosition="0">
        <references count="1">
          <reference field="5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FC18-8E62-47BC-B5AB-163A2F51A561}">
  <dimension ref="A1:C10"/>
  <sheetViews>
    <sheetView workbookViewId="0">
      <selection activeCell="C30" sqref="C30"/>
    </sheetView>
  </sheetViews>
  <sheetFormatPr defaultRowHeight="15"/>
  <cols>
    <col min="1" max="1" width="14.85546875" bestFit="1" customWidth="1"/>
    <col min="2" max="2" width="8.7109375" bestFit="1" customWidth="1"/>
    <col min="3" max="3" width="11.7109375" bestFit="1" customWidth="1"/>
  </cols>
  <sheetData>
    <row r="1" spans="1:3">
      <c r="A1" s="47"/>
    </row>
    <row r="2" spans="1:3">
      <c r="A2" s="48"/>
      <c r="B2" s="48"/>
      <c r="C2" s="48"/>
    </row>
    <row r="5" spans="1:3">
      <c r="A5" s="47"/>
    </row>
    <row r="6" spans="1:3">
      <c r="A6" s="48"/>
      <c r="B6" s="48"/>
      <c r="C6" s="48"/>
    </row>
    <row r="10" spans="1:3">
      <c r="A10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E6CC-A35F-4909-9C23-653EC3FC4043}">
  <dimension ref="A1:W101"/>
  <sheetViews>
    <sheetView tabSelected="1" topLeftCell="M1" zoomScale="115" workbookViewId="0">
      <selection activeCell="S3" sqref="S3"/>
    </sheetView>
  </sheetViews>
  <sheetFormatPr defaultColWidth="9" defaultRowHeight="17.100000000000001" customHeight="1"/>
  <cols>
    <col min="1" max="1" width="11.42578125" customWidth="1"/>
    <col min="2" max="2" width="11.85546875" bestFit="1" customWidth="1"/>
    <col min="3" max="3" width="16" bestFit="1" customWidth="1"/>
    <col min="4" max="4" width="17.42578125" bestFit="1" customWidth="1"/>
    <col min="5" max="5" width="22.85546875" customWidth="1"/>
    <col min="6" max="6" width="64.28515625" bestFit="1" customWidth="1"/>
    <col min="7" max="7" width="13.140625" bestFit="1" customWidth="1"/>
    <col min="8" max="8" width="14.5703125" bestFit="1" customWidth="1"/>
    <col min="9" max="9" width="13.85546875" customWidth="1"/>
    <col min="10" max="10" width="14.7109375" customWidth="1"/>
    <col min="11" max="12" width="28" customWidth="1"/>
    <col min="13" max="13" width="14.5703125" customWidth="1"/>
    <col min="14" max="14" width="15.28515625" bestFit="1" customWidth="1"/>
    <col min="15" max="15" width="19" bestFit="1" customWidth="1"/>
    <col min="16" max="16" width="18.140625" customWidth="1"/>
    <col min="17" max="17" width="24.28515625" customWidth="1"/>
    <col min="18" max="18" width="17.5703125" bestFit="1" customWidth="1"/>
    <col min="19" max="19" width="11.42578125" bestFit="1" customWidth="1"/>
    <col min="20" max="20" width="11.42578125" customWidth="1"/>
  </cols>
  <sheetData>
    <row r="1" spans="1:23" ht="17.100000000000001" customHeight="1">
      <c r="Q1" s="72">
        <f>SUBTOTAL(9,Q3:Q1048576)</f>
        <v>663.4</v>
      </c>
      <c r="R1" s="72">
        <f t="shared" ref="R1:S1" si="0">SUBTOTAL(9,R3:R1048576)</f>
        <v>471.72280000000012</v>
      </c>
      <c r="S1" s="72">
        <f t="shared" si="0"/>
        <v>1135.1228000000001</v>
      </c>
    </row>
    <row r="2" spans="1:23" s="33" customFormat="1" ht="30.95" customHeight="1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457</v>
      </c>
      <c r="I2" s="32" t="s">
        <v>8</v>
      </c>
      <c r="J2" s="32" t="s">
        <v>9</v>
      </c>
      <c r="K2" s="32" t="s">
        <v>10</v>
      </c>
      <c r="L2" s="32" t="s">
        <v>10</v>
      </c>
      <c r="M2" s="32" t="s">
        <v>476</v>
      </c>
      <c r="N2" s="63" t="s">
        <v>486</v>
      </c>
      <c r="O2" s="63" t="s">
        <v>487</v>
      </c>
      <c r="P2" s="63" t="s">
        <v>485</v>
      </c>
      <c r="Q2" s="63" t="s">
        <v>489</v>
      </c>
      <c r="R2" s="63" t="s">
        <v>488</v>
      </c>
      <c r="S2" s="63" t="s">
        <v>490</v>
      </c>
      <c r="T2"/>
    </row>
    <row r="3" spans="1:23" ht="15">
      <c r="A3" s="8" t="s">
        <v>234</v>
      </c>
      <c r="B3" s="4" t="s">
        <v>29</v>
      </c>
      <c r="C3" s="4" t="s">
        <v>116</v>
      </c>
      <c r="D3" s="4" t="s">
        <v>228</v>
      </c>
      <c r="E3" s="4" t="s">
        <v>131</v>
      </c>
      <c r="F3" s="4" t="s">
        <v>235</v>
      </c>
      <c r="G3" s="42">
        <v>1</v>
      </c>
      <c r="H3" s="34" t="s">
        <v>458</v>
      </c>
      <c r="I3" s="35">
        <v>20</v>
      </c>
      <c r="J3" s="35">
        <v>20</v>
      </c>
      <c r="K3" s="4">
        <v>220000</v>
      </c>
      <c r="L3" s="4">
        <v>0</v>
      </c>
      <c r="M3" s="46">
        <f>+P3/G3*1000</f>
        <v>220000</v>
      </c>
      <c r="N3" s="4">
        <v>220</v>
      </c>
      <c r="O3" s="4">
        <v>0</v>
      </c>
      <c r="P3" s="36">
        <f>+N3+O3</f>
        <v>220</v>
      </c>
      <c r="Q3" s="3">
        <v>100</v>
      </c>
      <c r="R3" s="42">
        <v>50</v>
      </c>
      <c r="S3" s="51">
        <v>150</v>
      </c>
      <c r="U3">
        <v>600</v>
      </c>
      <c r="V3" s="44">
        <f>+W3/U3</f>
        <v>208.33333333333334</v>
      </c>
      <c r="W3">
        <f>+W5-W4</f>
        <v>125000</v>
      </c>
    </row>
    <row r="4" spans="1:23" ht="15">
      <c r="A4" s="4" t="s">
        <v>207</v>
      </c>
      <c r="B4" s="4" t="s">
        <v>29</v>
      </c>
      <c r="C4" s="4" t="s">
        <v>22</v>
      </c>
      <c r="D4" s="4" t="s">
        <v>208</v>
      </c>
      <c r="E4" s="4" t="s">
        <v>209</v>
      </c>
      <c r="F4" s="4" t="s">
        <v>210</v>
      </c>
      <c r="G4" s="42">
        <v>1</v>
      </c>
      <c r="H4" s="34" t="s">
        <v>459</v>
      </c>
      <c r="I4" s="35">
        <v>16</v>
      </c>
      <c r="J4" s="35">
        <v>16</v>
      </c>
      <c r="K4" s="4">
        <v>0</v>
      </c>
      <c r="L4" s="4">
        <v>30000</v>
      </c>
      <c r="M4" s="46">
        <f>+P4/G4*1000</f>
        <v>380000</v>
      </c>
      <c r="N4" s="4">
        <v>30</v>
      </c>
      <c r="O4" s="4">
        <v>350</v>
      </c>
      <c r="P4" s="36">
        <v>380</v>
      </c>
      <c r="Q4" s="3">
        <v>150</v>
      </c>
      <c r="R4" s="42">
        <v>5</v>
      </c>
      <c r="S4" s="51">
        <v>155</v>
      </c>
      <c r="U4">
        <v>400</v>
      </c>
      <c r="V4" s="44">
        <v>150</v>
      </c>
      <c r="W4">
        <f>+U4*V4</f>
        <v>60000</v>
      </c>
    </row>
    <row r="5" spans="1:23" ht="15">
      <c r="A5" s="4" t="s">
        <v>383</v>
      </c>
      <c r="B5" s="4" t="s">
        <v>29</v>
      </c>
      <c r="C5" s="4" t="s">
        <v>116</v>
      </c>
      <c r="D5" s="4" t="s">
        <v>380</v>
      </c>
      <c r="E5" s="4" t="s">
        <v>381</v>
      </c>
      <c r="F5" s="4" t="s">
        <v>384</v>
      </c>
      <c r="G5" s="42">
        <v>1</v>
      </c>
      <c r="H5" s="34" t="s">
        <v>460</v>
      </c>
      <c r="I5" s="35">
        <v>20</v>
      </c>
      <c r="J5" s="35">
        <v>20</v>
      </c>
      <c r="K5" s="4">
        <v>20000</v>
      </c>
      <c r="L5" s="4">
        <v>0</v>
      </c>
      <c r="M5" s="46">
        <f>+P5/G5*1000</f>
        <v>270000</v>
      </c>
      <c r="N5" s="4">
        <v>20</v>
      </c>
      <c r="O5" s="4">
        <v>250</v>
      </c>
      <c r="P5" s="36">
        <f>+N5+O5</f>
        <v>270</v>
      </c>
      <c r="Q5" s="3">
        <v>75</v>
      </c>
      <c r="R5" s="42">
        <v>10</v>
      </c>
      <c r="S5" s="51">
        <v>85</v>
      </c>
      <c r="U5">
        <v>1000</v>
      </c>
      <c r="V5" s="44">
        <v>185</v>
      </c>
      <c r="W5">
        <f>+U5*V5</f>
        <v>185000</v>
      </c>
    </row>
    <row r="6" spans="1:23" ht="15">
      <c r="A6" s="4" t="s">
        <v>230</v>
      </c>
      <c r="B6" s="4" t="s">
        <v>29</v>
      </c>
      <c r="C6" s="4" t="s">
        <v>116</v>
      </c>
      <c r="D6" s="4" t="s">
        <v>228</v>
      </c>
      <c r="E6" s="4" t="s">
        <v>131</v>
      </c>
      <c r="F6" s="4" t="s">
        <v>231</v>
      </c>
      <c r="G6" s="42">
        <v>5</v>
      </c>
      <c r="H6" s="34" t="s">
        <v>461</v>
      </c>
      <c r="I6" s="35">
        <v>20</v>
      </c>
      <c r="J6" s="35">
        <v>4</v>
      </c>
      <c r="K6" s="4">
        <v>40000</v>
      </c>
      <c r="L6" s="4">
        <v>0</v>
      </c>
      <c r="M6" s="46">
        <f>+P6/G6*1000</f>
        <v>48000</v>
      </c>
      <c r="N6" s="4">
        <v>40</v>
      </c>
      <c r="O6" s="4">
        <v>150</v>
      </c>
      <c r="P6" s="36">
        <v>240</v>
      </c>
      <c r="Q6" s="3">
        <v>25</v>
      </c>
      <c r="R6" s="42">
        <v>10</v>
      </c>
      <c r="S6" s="51">
        <v>35</v>
      </c>
    </row>
    <row r="7" spans="1:23" ht="15">
      <c r="A7" s="4" t="s">
        <v>28</v>
      </c>
      <c r="B7" s="4" t="s">
        <v>29</v>
      </c>
      <c r="C7" s="4" t="s">
        <v>22</v>
      </c>
      <c r="D7" s="4" t="s">
        <v>30</v>
      </c>
      <c r="E7" s="4" t="s">
        <v>31</v>
      </c>
      <c r="F7" s="4" t="s">
        <v>32</v>
      </c>
      <c r="G7" s="42">
        <v>5</v>
      </c>
      <c r="H7" s="34" t="s">
        <v>461</v>
      </c>
      <c r="I7" s="35">
        <v>20</v>
      </c>
      <c r="J7" s="35">
        <v>4</v>
      </c>
      <c r="K7" s="4">
        <v>0</v>
      </c>
      <c r="L7" s="4">
        <v>150000</v>
      </c>
      <c r="M7" s="46">
        <f>+P7/G7*1000</f>
        <v>45000</v>
      </c>
      <c r="N7" s="4">
        <v>150</v>
      </c>
      <c r="O7" s="4">
        <v>75</v>
      </c>
      <c r="P7" s="36">
        <v>225</v>
      </c>
      <c r="Q7" s="3">
        <v>10</v>
      </c>
      <c r="R7" s="42">
        <v>10</v>
      </c>
      <c r="S7" s="51">
        <v>20</v>
      </c>
    </row>
    <row r="8" spans="1:23" s="1" customFormat="1" ht="15">
      <c r="A8" s="4" t="s">
        <v>285</v>
      </c>
      <c r="B8" s="4" t="s">
        <v>29</v>
      </c>
      <c r="C8" s="4" t="s">
        <v>22</v>
      </c>
      <c r="D8" s="4" t="s">
        <v>282</v>
      </c>
      <c r="E8" s="4" t="s">
        <v>283</v>
      </c>
      <c r="F8" s="4" t="s">
        <v>286</v>
      </c>
      <c r="G8" s="42">
        <v>1</v>
      </c>
      <c r="H8" s="34" t="s">
        <v>459</v>
      </c>
      <c r="I8" s="35">
        <v>16</v>
      </c>
      <c r="J8" s="35">
        <v>16</v>
      </c>
      <c r="K8" s="4">
        <v>0</v>
      </c>
      <c r="L8" s="4">
        <v>80000</v>
      </c>
      <c r="M8" s="46">
        <f>+P8/G8*1000</f>
        <v>160000</v>
      </c>
      <c r="N8" s="4">
        <v>80</v>
      </c>
      <c r="O8" s="4">
        <v>80</v>
      </c>
      <c r="P8" s="36">
        <v>160</v>
      </c>
      <c r="Q8" s="3">
        <v>10</v>
      </c>
      <c r="R8" s="42"/>
      <c r="S8" s="51">
        <v>10</v>
      </c>
      <c r="T8"/>
    </row>
    <row r="9" spans="1:23" s="1" customFormat="1" ht="15">
      <c r="A9" s="4" t="s">
        <v>281</v>
      </c>
      <c r="B9" s="4" t="s">
        <v>29</v>
      </c>
      <c r="C9" s="4" t="s">
        <v>22</v>
      </c>
      <c r="D9" s="4" t="s">
        <v>282</v>
      </c>
      <c r="E9" s="4" t="s">
        <v>283</v>
      </c>
      <c r="F9" s="4" t="s">
        <v>284</v>
      </c>
      <c r="G9" s="42">
        <v>5</v>
      </c>
      <c r="H9" s="34" t="s">
        <v>462</v>
      </c>
      <c r="I9" s="35">
        <v>20</v>
      </c>
      <c r="J9" s="35">
        <v>4</v>
      </c>
      <c r="K9" s="4">
        <v>0</v>
      </c>
      <c r="L9" s="4">
        <v>85000</v>
      </c>
      <c r="M9" s="46">
        <f>+P9/G9*1000</f>
        <v>31000</v>
      </c>
      <c r="N9" s="4">
        <v>85</v>
      </c>
      <c r="O9" s="4">
        <v>70</v>
      </c>
      <c r="P9" s="36">
        <v>155</v>
      </c>
      <c r="Q9" s="3">
        <v>20</v>
      </c>
      <c r="R9" s="42"/>
      <c r="S9" s="51">
        <v>20</v>
      </c>
      <c r="T9"/>
    </row>
    <row r="10" spans="1:23" s="1" customFormat="1" ht="15">
      <c r="A10" s="4" t="s">
        <v>262</v>
      </c>
      <c r="B10" s="4" t="s">
        <v>78</v>
      </c>
      <c r="C10" s="4" t="s">
        <v>116</v>
      </c>
      <c r="D10" s="4" t="s">
        <v>228</v>
      </c>
      <c r="E10" s="4" t="s">
        <v>263</v>
      </c>
      <c r="F10" s="4" t="s">
        <v>264</v>
      </c>
      <c r="G10" s="42">
        <v>1</v>
      </c>
      <c r="H10" s="34" t="s">
        <v>458</v>
      </c>
      <c r="I10" s="35">
        <v>20</v>
      </c>
      <c r="J10" s="35">
        <v>20</v>
      </c>
      <c r="K10" s="4">
        <v>110000</v>
      </c>
      <c r="L10" s="4">
        <v>0</v>
      </c>
      <c r="M10" s="46">
        <f>+P10/G10*1000</f>
        <v>85000</v>
      </c>
      <c r="N10" s="4">
        <v>80</v>
      </c>
      <c r="O10" s="4">
        <v>5</v>
      </c>
      <c r="P10" s="36">
        <f>+N10+O10</f>
        <v>85</v>
      </c>
      <c r="Q10" s="3">
        <v>7.5</v>
      </c>
      <c r="R10" s="42">
        <v>20</v>
      </c>
      <c r="S10" s="51">
        <v>27.5</v>
      </c>
      <c r="T10"/>
    </row>
    <row r="11" spans="1:23" s="1" customFormat="1" ht="15">
      <c r="A11" s="4" t="s">
        <v>379</v>
      </c>
      <c r="B11" s="4" t="s">
        <v>29</v>
      </c>
      <c r="C11" s="4" t="s">
        <v>116</v>
      </c>
      <c r="D11" s="4" t="s">
        <v>380</v>
      </c>
      <c r="E11" s="4" t="s">
        <v>381</v>
      </c>
      <c r="F11" s="4" t="s">
        <v>382</v>
      </c>
      <c r="G11" s="42">
        <v>5</v>
      </c>
      <c r="H11" s="34" t="s">
        <v>461</v>
      </c>
      <c r="I11" s="35">
        <v>20</v>
      </c>
      <c r="J11" s="35">
        <v>4</v>
      </c>
      <c r="K11" s="4">
        <v>15000</v>
      </c>
      <c r="L11" s="4">
        <v>0</v>
      </c>
      <c r="M11" s="46">
        <f>+P11/G11*1000</f>
        <v>23000</v>
      </c>
      <c r="N11" s="4">
        <v>15</v>
      </c>
      <c r="O11" s="4">
        <v>75</v>
      </c>
      <c r="P11" s="36">
        <v>115</v>
      </c>
      <c r="Q11" s="3">
        <v>25</v>
      </c>
      <c r="R11" s="42">
        <v>5</v>
      </c>
      <c r="S11" s="51">
        <v>30</v>
      </c>
      <c r="T11"/>
    </row>
    <row r="12" spans="1:23" s="1" customFormat="1" ht="15">
      <c r="A12" s="8" t="s">
        <v>35</v>
      </c>
      <c r="B12" s="4" t="s">
        <v>29</v>
      </c>
      <c r="C12" s="4" t="s">
        <v>22</v>
      </c>
      <c r="D12" s="4" t="s">
        <v>30</v>
      </c>
      <c r="E12" s="4" t="s">
        <v>31</v>
      </c>
      <c r="F12" s="4" t="s">
        <v>36</v>
      </c>
      <c r="G12" s="42">
        <v>1</v>
      </c>
      <c r="H12" s="34" t="s">
        <v>460</v>
      </c>
      <c r="I12" s="35">
        <v>20</v>
      </c>
      <c r="J12" s="35">
        <v>20</v>
      </c>
      <c r="K12" s="4">
        <v>0</v>
      </c>
      <c r="L12" s="4">
        <v>25000</v>
      </c>
      <c r="M12" s="46">
        <f>+P12/G12*1000</f>
        <v>100000</v>
      </c>
      <c r="N12" s="4">
        <v>25</v>
      </c>
      <c r="O12" s="4">
        <v>75</v>
      </c>
      <c r="P12" s="36">
        <v>100</v>
      </c>
      <c r="Q12" s="3">
        <v>0</v>
      </c>
      <c r="R12" s="42">
        <v>5</v>
      </c>
      <c r="S12" s="51">
        <v>5</v>
      </c>
      <c r="T12"/>
    </row>
    <row r="13" spans="1:23" s="1" customFormat="1" ht="15">
      <c r="A13" s="4" t="s">
        <v>211</v>
      </c>
      <c r="B13" s="4" t="s">
        <v>29</v>
      </c>
      <c r="C13" s="4" t="s">
        <v>22</v>
      </c>
      <c r="D13" s="4" t="s">
        <v>208</v>
      </c>
      <c r="E13" s="4" t="s">
        <v>209</v>
      </c>
      <c r="F13" s="4" t="s">
        <v>212</v>
      </c>
      <c r="G13" s="42">
        <v>5</v>
      </c>
      <c r="H13" s="34" t="s">
        <v>461</v>
      </c>
      <c r="I13" s="35">
        <v>20</v>
      </c>
      <c r="J13" s="35">
        <v>4</v>
      </c>
      <c r="K13" s="4">
        <v>0</v>
      </c>
      <c r="L13" s="4">
        <v>10000</v>
      </c>
      <c r="M13" s="46">
        <f>+P13/G13*1000</f>
        <v>20000</v>
      </c>
      <c r="N13" s="4">
        <v>10</v>
      </c>
      <c r="O13" s="4">
        <v>90</v>
      </c>
      <c r="P13" s="36">
        <v>100</v>
      </c>
      <c r="Q13" s="3">
        <v>30</v>
      </c>
      <c r="R13" s="42">
        <v>5</v>
      </c>
      <c r="S13" s="51">
        <v>35</v>
      </c>
      <c r="T13"/>
    </row>
    <row r="14" spans="1:23" s="1" customFormat="1" ht="15">
      <c r="A14" s="4" t="s">
        <v>347</v>
      </c>
      <c r="B14" s="4" t="s">
        <v>29</v>
      </c>
      <c r="C14" s="4" t="s">
        <v>116</v>
      </c>
      <c r="D14" s="4" t="s">
        <v>342</v>
      </c>
      <c r="E14" s="4" t="s">
        <v>343</v>
      </c>
      <c r="F14" s="4" t="s">
        <v>348</v>
      </c>
      <c r="G14" s="42" t="s">
        <v>463</v>
      </c>
      <c r="H14" s="34" t="s">
        <v>463</v>
      </c>
      <c r="I14" s="35">
        <v>12</v>
      </c>
      <c r="J14" s="35">
        <v>12</v>
      </c>
      <c r="K14" s="4">
        <v>50000</v>
      </c>
      <c r="L14" s="4">
        <v>0</v>
      </c>
      <c r="M14" s="46">
        <v>50000</v>
      </c>
      <c r="N14" s="4">
        <v>50</v>
      </c>
      <c r="O14" s="4">
        <v>50</v>
      </c>
      <c r="P14" s="36">
        <v>100</v>
      </c>
      <c r="Q14" s="3">
        <v>20</v>
      </c>
      <c r="R14" s="42">
        <v>10</v>
      </c>
      <c r="S14" s="51">
        <v>30</v>
      </c>
      <c r="T14"/>
    </row>
    <row r="15" spans="1:23" s="1" customFormat="1" ht="15">
      <c r="A15" s="4" t="s">
        <v>358</v>
      </c>
      <c r="B15" s="4" t="s">
        <v>29</v>
      </c>
      <c r="C15" s="4" t="s">
        <v>116</v>
      </c>
      <c r="D15" s="4" t="s">
        <v>342</v>
      </c>
      <c r="E15" s="4" t="s">
        <v>343</v>
      </c>
      <c r="F15" s="4" t="s">
        <v>359</v>
      </c>
      <c r="G15" s="42">
        <v>15</v>
      </c>
      <c r="H15" s="34" t="s">
        <v>462</v>
      </c>
      <c r="I15" s="37">
        <v>15</v>
      </c>
      <c r="J15" s="4">
        <v>1</v>
      </c>
      <c r="K15" s="4">
        <v>100000</v>
      </c>
      <c r="L15" s="4">
        <v>0</v>
      </c>
      <c r="M15" s="46">
        <f>+P15/G15*1000</f>
        <v>6666.666666666667</v>
      </c>
      <c r="N15" s="4">
        <v>100</v>
      </c>
      <c r="O15" s="4">
        <v>0</v>
      </c>
      <c r="P15" s="36">
        <v>100</v>
      </c>
      <c r="Q15" s="3">
        <v>0</v>
      </c>
      <c r="R15" s="42">
        <v>30</v>
      </c>
      <c r="S15" s="51">
        <v>30</v>
      </c>
      <c r="T15"/>
    </row>
    <row r="16" spans="1:23" s="1" customFormat="1" ht="15">
      <c r="A16" s="4" t="s">
        <v>439</v>
      </c>
      <c r="B16" s="4" t="s">
        <v>29</v>
      </c>
      <c r="C16" s="4" t="s">
        <v>116</v>
      </c>
      <c r="D16" s="4" t="s">
        <v>342</v>
      </c>
      <c r="E16" s="4" t="s">
        <v>343</v>
      </c>
      <c r="F16" s="38" t="s">
        <v>407</v>
      </c>
      <c r="G16" s="42">
        <v>15</v>
      </c>
      <c r="H16" s="34" t="s">
        <v>462</v>
      </c>
      <c r="I16" s="37">
        <v>15</v>
      </c>
      <c r="J16" s="38">
        <v>1</v>
      </c>
      <c r="K16" s="4">
        <v>100000</v>
      </c>
      <c r="L16" s="4">
        <v>0</v>
      </c>
      <c r="M16" s="46">
        <f>+P16/G16*1000</f>
        <v>6666.666666666667</v>
      </c>
      <c r="N16" s="4">
        <v>100</v>
      </c>
      <c r="O16" s="4">
        <v>0</v>
      </c>
      <c r="P16" s="36">
        <v>100</v>
      </c>
      <c r="Q16" s="3">
        <v>0</v>
      </c>
      <c r="R16" s="42">
        <v>35</v>
      </c>
      <c r="S16" s="51">
        <v>35</v>
      </c>
      <c r="T16"/>
    </row>
    <row r="17" spans="1:20" s="1" customFormat="1" ht="15">
      <c r="A17" s="4" t="s">
        <v>360</v>
      </c>
      <c r="B17" s="4" t="s">
        <v>29</v>
      </c>
      <c r="C17" s="4" t="s">
        <v>116</v>
      </c>
      <c r="D17" s="4" t="s">
        <v>342</v>
      </c>
      <c r="E17" s="4" t="s">
        <v>343</v>
      </c>
      <c r="F17" s="4" t="s">
        <v>361</v>
      </c>
      <c r="G17" s="42">
        <v>15</v>
      </c>
      <c r="H17" s="34" t="s">
        <v>462</v>
      </c>
      <c r="I17" s="37">
        <v>15</v>
      </c>
      <c r="J17" s="4">
        <v>1</v>
      </c>
      <c r="K17" s="4">
        <v>80000</v>
      </c>
      <c r="L17" s="4">
        <v>0</v>
      </c>
      <c r="M17" s="46">
        <f>+P17/G17*1000</f>
        <v>5333.333333333333</v>
      </c>
      <c r="N17" s="4">
        <v>80</v>
      </c>
      <c r="O17" s="4">
        <v>0</v>
      </c>
      <c r="P17" s="36">
        <v>80</v>
      </c>
      <c r="Q17" s="3">
        <v>0</v>
      </c>
      <c r="R17" s="42">
        <v>35</v>
      </c>
      <c r="S17" s="51">
        <v>35</v>
      </c>
      <c r="T17"/>
    </row>
    <row r="18" spans="1:20" s="1" customFormat="1" ht="15">
      <c r="A18" s="4" t="s">
        <v>142</v>
      </c>
      <c r="B18" s="4" t="s">
        <v>29</v>
      </c>
      <c r="C18" s="4" t="s">
        <v>22</v>
      </c>
      <c r="D18" s="4" t="s">
        <v>134</v>
      </c>
      <c r="E18" s="4" t="s">
        <v>143</v>
      </c>
      <c r="F18" s="4" t="s">
        <v>144</v>
      </c>
      <c r="G18" s="42">
        <v>1</v>
      </c>
      <c r="H18" s="34" t="s">
        <v>459</v>
      </c>
      <c r="I18" s="35">
        <v>16</v>
      </c>
      <c r="J18" s="35">
        <v>16</v>
      </c>
      <c r="K18" s="4">
        <v>0</v>
      </c>
      <c r="L18" s="4">
        <v>30000</v>
      </c>
      <c r="M18" s="46">
        <f>+P18/G18*1000</f>
        <v>70000</v>
      </c>
      <c r="N18" s="4">
        <v>30</v>
      </c>
      <c r="O18" s="4">
        <v>40</v>
      </c>
      <c r="P18" s="36">
        <v>70</v>
      </c>
      <c r="Q18" s="3">
        <v>0</v>
      </c>
      <c r="R18" s="42">
        <v>10</v>
      </c>
      <c r="S18" s="51">
        <v>10</v>
      </c>
      <c r="T18"/>
    </row>
    <row r="19" spans="1:20" s="1" customFormat="1" ht="15">
      <c r="A19" s="8" t="s">
        <v>33</v>
      </c>
      <c r="B19" s="4" t="s">
        <v>29</v>
      </c>
      <c r="C19" s="4" t="s">
        <v>22</v>
      </c>
      <c r="D19" s="4" t="s">
        <v>30</v>
      </c>
      <c r="E19" s="4" t="s">
        <v>31</v>
      </c>
      <c r="F19" s="4" t="s">
        <v>34</v>
      </c>
      <c r="G19" s="42">
        <v>1</v>
      </c>
      <c r="H19" s="34" t="s">
        <v>460</v>
      </c>
      <c r="I19" s="35">
        <v>20</v>
      </c>
      <c r="J19" s="35">
        <v>20</v>
      </c>
      <c r="K19" s="4">
        <v>0</v>
      </c>
      <c r="L19" s="4">
        <v>60000</v>
      </c>
      <c r="M19" s="46">
        <f>+P19/G19*1000</f>
        <v>60000</v>
      </c>
      <c r="N19" s="4">
        <v>60</v>
      </c>
      <c r="O19" s="4">
        <v>0</v>
      </c>
      <c r="P19" s="36">
        <v>60</v>
      </c>
      <c r="Q19" s="3">
        <v>0</v>
      </c>
      <c r="R19" s="42"/>
      <c r="S19" s="51">
        <v>0</v>
      </c>
      <c r="T19"/>
    </row>
    <row r="20" spans="1:20" s="1" customFormat="1" ht="15">
      <c r="A20" s="8" t="s">
        <v>47</v>
      </c>
      <c r="B20" s="4" t="s">
        <v>29</v>
      </c>
      <c r="C20" s="4" t="s">
        <v>22</v>
      </c>
      <c r="D20" s="4" t="s">
        <v>30</v>
      </c>
      <c r="E20" s="4" t="s">
        <v>31</v>
      </c>
      <c r="F20" s="4" t="s">
        <v>48</v>
      </c>
      <c r="G20" s="42">
        <v>15</v>
      </c>
      <c r="H20" s="34" t="s">
        <v>462</v>
      </c>
      <c r="I20" s="37">
        <v>15</v>
      </c>
      <c r="J20" s="4">
        <v>1</v>
      </c>
      <c r="K20" s="4">
        <v>0</v>
      </c>
      <c r="L20" s="4">
        <v>60000</v>
      </c>
      <c r="M20" s="46">
        <f>+P20/G20*1000</f>
        <v>4000</v>
      </c>
      <c r="N20" s="4">
        <v>60</v>
      </c>
      <c r="O20" s="4">
        <v>0</v>
      </c>
      <c r="P20" s="36">
        <v>60</v>
      </c>
      <c r="Q20" s="3">
        <v>0</v>
      </c>
      <c r="R20" s="42">
        <v>10</v>
      </c>
      <c r="S20" s="51">
        <v>10</v>
      </c>
      <c r="T20"/>
    </row>
    <row r="21" spans="1:20" s="1" customFormat="1" ht="15">
      <c r="A21" s="4" t="s">
        <v>241</v>
      </c>
      <c r="B21" s="4" t="s">
        <v>29</v>
      </c>
      <c r="C21" s="4" t="s">
        <v>116</v>
      </c>
      <c r="D21" s="4" t="s">
        <v>228</v>
      </c>
      <c r="E21" s="4" t="s">
        <v>131</v>
      </c>
      <c r="F21" s="4" t="s">
        <v>242</v>
      </c>
      <c r="G21" s="42">
        <v>1</v>
      </c>
      <c r="H21" s="34" t="s">
        <v>458</v>
      </c>
      <c r="I21" s="35">
        <v>20</v>
      </c>
      <c r="J21" s="35">
        <v>20</v>
      </c>
      <c r="K21" s="4">
        <v>60000</v>
      </c>
      <c r="L21" s="4">
        <v>0</v>
      </c>
      <c r="M21" s="46">
        <f>+P21/G21*1000</f>
        <v>60000</v>
      </c>
      <c r="N21" s="4">
        <v>60</v>
      </c>
      <c r="O21" s="4">
        <v>0</v>
      </c>
      <c r="P21" s="36">
        <f>+N21+O21</f>
        <v>60</v>
      </c>
      <c r="Q21" s="3">
        <v>0</v>
      </c>
      <c r="R21" s="42">
        <v>20</v>
      </c>
      <c r="S21" s="51">
        <v>20</v>
      </c>
      <c r="T21"/>
    </row>
    <row r="22" spans="1:20" s="1" customFormat="1" ht="15">
      <c r="A22" s="4" t="s">
        <v>287</v>
      </c>
      <c r="B22" s="4" t="s">
        <v>78</v>
      </c>
      <c r="C22" s="4" t="s">
        <v>22</v>
      </c>
      <c r="D22" s="4" t="s">
        <v>282</v>
      </c>
      <c r="E22" s="4" t="s">
        <v>288</v>
      </c>
      <c r="F22" s="4" t="s">
        <v>289</v>
      </c>
      <c r="G22" s="42">
        <v>5</v>
      </c>
      <c r="H22" s="34" t="s">
        <v>462</v>
      </c>
      <c r="I22" s="35">
        <v>20</v>
      </c>
      <c r="J22" s="35">
        <v>4</v>
      </c>
      <c r="K22" s="4">
        <v>0</v>
      </c>
      <c r="L22" s="4">
        <v>35000</v>
      </c>
      <c r="M22" s="46">
        <f>+P22/G22*1000</f>
        <v>12000</v>
      </c>
      <c r="N22" s="4">
        <v>35</v>
      </c>
      <c r="O22" s="4">
        <v>25</v>
      </c>
      <c r="P22" s="36">
        <v>60</v>
      </c>
      <c r="Q22" s="3">
        <v>7.5</v>
      </c>
      <c r="R22" s="42"/>
      <c r="S22" s="51">
        <v>7.5</v>
      </c>
      <c r="T22"/>
    </row>
    <row r="23" spans="1:20" s="1" customFormat="1" ht="15">
      <c r="A23" s="4" t="s">
        <v>290</v>
      </c>
      <c r="B23" s="4" t="s">
        <v>78</v>
      </c>
      <c r="C23" s="4" t="s">
        <v>22</v>
      </c>
      <c r="D23" s="4" t="s">
        <v>282</v>
      </c>
      <c r="E23" s="4" t="s">
        <v>288</v>
      </c>
      <c r="F23" s="4" t="s">
        <v>291</v>
      </c>
      <c r="G23" s="42">
        <v>1</v>
      </c>
      <c r="H23" s="34" t="s">
        <v>459</v>
      </c>
      <c r="I23" s="35">
        <v>16</v>
      </c>
      <c r="J23" s="35">
        <v>16</v>
      </c>
      <c r="K23" s="4">
        <v>0</v>
      </c>
      <c r="L23" s="4">
        <v>30000</v>
      </c>
      <c r="M23" s="46">
        <f>+P23/G23*1000</f>
        <v>60000</v>
      </c>
      <c r="N23" s="4">
        <v>30</v>
      </c>
      <c r="O23" s="4">
        <v>30</v>
      </c>
      <c r="P23" s="36">
        <v>60</v>
      </c>
      <c r="Q23" s="3">
        <v>10</v>
      </c>
      <c r="R23" s="42"/>
      <c r="S23" s="51">
        <v>10</v>
      </c>
      <c r="T23"/>
    </row>
    <row r="24" spans="1:20" ht="15">
      <c r="A24" s="4" t="s">
        <v>201</v>
      </c>
      <c r="B24" s="4" t="s">
        <v>29</v>
      </c>
      <c r="C24" s="4" t="s">
        <v>116</v>
      </c>
      <c r="D24" s="4" t="s">
        <v>202</v>
      </c>
      <c r="E24" s="4" t="s">
        <v>203</v>
      </c>
      <c r="F24" s="4" t="s">
        <v>204</v>
      </c>
      <c r="G24" s="42">
        <v>1</v>
      </c>
      <c r="H24" s="34" t="s">
        <v>460</v>
      </c>
      <c r="I24" s="35">
        <v>20</v>
      </c>
      <c r="J24" s="35">
        <v>20</v>
      </c>
      <c r="K24" s="4">
        <v>3000</v>
      </c>
      <c r="L24" s="4">
        <v>0</v>
      </c>
      <c r="M24" s="46">
        <f>+P24/G24*1000</f>
        <v>33000</v>
      </c>
      <c r="N24" s="4">
        <v>3</v>
      </c>
      <c r="O24" s="4">
        <v>30</v>
      </c>
      <c r="P24" s="36">
        <f t="shared" ref="P24:P27" si="1">+N24+O24</f>
        <v>33</v>
      </c>
      <c r="Q24" s="3">
        <v>20</v>
      </c>
      <c r="R24" s="42">
        <v>5</v>
      </c>
      <c r="S24" s="51">
        <v>25</v>
      </c>
    </row>
    <row r="25" spans="1:20" ht="15">
      <c r="A25" s="4" t="s">
        <v>341</v>
      </c>
      <c r="B25" s="4" t="s">
        <v>29</v>
      </c>
      <c r="C25" s="4" t="s">
        <v>116</v>
      </c>
      <c r="D25" s="4" t="s">
        <v>342</v>
      </c>
      <c r="E25" s="4" t="s">
        <v>343</v>
      </c>
      <c r="F25" s="4" t="s">
        <v>344</v>
      </c>
      <c r="G25" s="34">
        <v>1</v>
      </c>
      <c r="H25" s="34" t="s">
        <v>463</v>
      </c>
      <c r="I25" s="37">
        <f>G25*J25</f>
        <v>12</v>
      </c>
      <c r="J25" s="4">
        <v>12</v>
      </c>
      <c r="K25" s="4">
        <v>42000</v>
      </c>
      <c r="L25" s="4">
        <v>0</v>
      </c>
      <c r="M25" s="46">
        <f>+P25/G25*1000</f>
        <v>42000</v>
      </c>
      <c r="N25" s="4">
        <v>42</v>
      </c>
      <c r="O25" s="4">
        <v>0</v>
      </c>
      <c r="P25" s="36">
        <f t="shared" si="1"/>
        <v>42</v>
      </c>
      <c r="Q25" s="3">
        <v>0</v>
      </c>
      <c r="R25" s="34">
        <v>20</v>
      </c>
      <c r="S25" s="51">
        <v>20</v>
      </c>
    </row>
    <row r="26" spans="1:20" ht="15">
      <c r="A26" s="4" t="s">
        <v>345</v>
      </c>
      <c r="B26" s="4" t="s">
        <v>29</v>
      </c>
      <c r="C26" s="4" t="s">
        <v>116</v>
      </c>
      <c r="D26" s="4" t="s">
        <v>342</v>
      </c>
      <c r="E26" s="4" t="s">
        <v>343</v>
      </c>
      <c r="F26" s="4" t="s">
        <v>346</v>
      </c>
      <c r="G26" s="34">
        <v>1</v>
      </c>
      <c r="H26" s="34" t="s">
        <v>463</v>
      </c>
      <c r="I26" s="37">
        <v>9.24</v>
      </c>
      <c r="J26" s="4">
        <v>12</v>
      </c>
      <c r="K26" s="4">
        <v>42000</v>
      </c>
      <c r="L26" s="4">
        <v>0</v>
      </c>
      <c r="M26" s="46">
        <f>+P26/G26*1000</f>
        <v>42000</v>
      </c>
      <c r="N26" s="4">
        <v>42</v>
      </c>
      <c r="O26" s="4">
        <v>0</v>
      </c>
      <c r="P26" s="36">
        <f t="shared" si="1"/>
        <v>42</v>
      </c>
      <c r="Q26" s="3">
        <v>0</v>
      </c>
      <c r="R26" s="34">
        <v>20</v>
      </c>
      <c r="S26" s="51">
        <v>20</v>
      </c>
    </row>
    <row r="27" spans="1:20" ht="15">
      <c r="A27" s="4" t="s">
        <v>238</v>
      </c>
      <c r="B27" s="4" t="s">
        <v>29</v>
      </c>
      <c r="C27" s="4" t="s">
        <v>116</v>
      </c>
      <c r="D27" s="4" t="s">
        <v>228</v>
      </c>
      <c r="E27" s="4" t="s">
        <v>239</v>
      </c>
      <c r="F27" s="4" t="s">
        <v>240</v>
      </c>
      <c r="G27" s="42">
        <v>1</v>
      </c>
      <c r="H27" s="34" t="s">
        <v>458</v>
      </c>
      <c r="I27" s="35">
        <v>20</v>
      </c>
      <c r="J27" s="35">
        <v>20</v>
      </c>
      <c r="K27" s="4">
        <v>40000</v>
      </c>
      <c r="L27" s="4">
        <v>0</v>
      </c>
      <c r="M27" s="46">
        <f>+P27/G27*1000</f>
        <v>40000</v>
      </c>
      <c r="N27" s="4">
        <v>40</v>
      </c>
      <c r="O27" s="4">
        <v>0</v>
      </c>
      <c r="P27" s="36">
        <f t="shared" si="1"/>
        <v>40</v>
      </c>
      <c r="Q27" s="3">
        <v>0</v>
      </c>
      <c r="R27" s="42">
        <v>10</v>
      </c>
      <c r="S27" s="51">
        <v>10</v>
      </c>
    </row>
    <row r="28" spans="1:20" ht="15">
      <c r="A28" s="4" t="s">
        <v>269</v>
      </c>
      <c r="B28" s="4" t="s">
        <v>29</v>
      </c>
      <c r="C28" s="4" t="s">
        <v>116</v>
      </c>
      <c r="D28" s="4" t="s">
        <v>228</v>
      </c>
      <c r="E28" s="4" t="s">
        <v>131</v>
      </c>
      <c r="F28" s="4" t="s">
        <v>270</v>
      </c>
      <c r="G28" s="42">
        <v>2</v>
      </c>
      <c r="H28" s="34" t="s">
        <v>456</v>
      </c>
      <c r="I28" s="35">
        <v>20</v>
      </c>
      <c r="J28" s="35">
        <v>10</v>
      </c>
      <c r="K28" s="4">
        <v>40000</v>
      </c>
      <c r="L28" s="4">
        <v>0</v>
      </c>
      <c r="M28" s="46">
        <f>+P28/G28*1000</f>
        <v>20000</v>
      </c>
      <c r="N28" s="4">
        <v>40</v>
      </c>
      <c r="O28" s="4">
        <v>0</v>
      </c>
      <c r="P28" s="36">
        <v>40</v>
      </c>
      <c r="Q28" s="3">
        <v>0</v>
      </c>
      <c r="R28" s="42">
        <v>5</v>
      </c>
      <c r="S28" s="51">
        <v>5</v>
      </c>
    </row>
    <row r="29" spans="1:20" ht="15">
      <c r="A29" s="4" t="s">
        <v>403</v>
      </c>
      <c r="B29" s="4" t="s">
        <v>29</v>
      </c>
      <c r="C29" s="4" t="s">
        <v>22</v>
      </c>
      <c r="D29" s="4" t="s">
        <v>253</v>
      </c>
      <c r="E29" s="4" t="s">
        <v>253</v>
      </c>
      <c r="F29" s="4" t="s">
        <v>404</v>
      </c>
      <c r="G29" s="42">
        <v>1</v>
      </c>
      <c r="H29" s="34" t="s">
        <v>464</v>
      </c>
      <c r="I29" s="35">
        <v>20</v>
      </c>
      <c r="J29" s="35">
        <v>20</v>
      </c>
      <c r="K29" s="4">
        <v>0</v>
      </c>
      <c r="L29" s="4">
        <v>25000</v>
      </c>
      <c r="M29" s="46">
        <f>+P29/G29*1000</f>
        <v>40000</v>
      </c>
      <c r="N29" s="4">
        <v>25</v>
      </c>
      <c r="O29" s="4">
        <v>15</v>
      </c>
      <c r="P29" s="36">
        <v>40</v>
      </c>
      <c r="Q29" s="3">
        <v>10</v>
      </c>
      <c r="R29" s="42">
        <v>10</v>
      </c>
      <c r="S29" s="51">
        <v>20</v>
      </c>
    </row>
    <row r="30" spans="1:20" ht="15">
      <c r="A30" s="4" t="s">
        <v>236</v>
      </c>
      <c r="B30" s="4" t="s">
        <v>29</v>
      </c>
      <c r="C30" s="4" t="s">
        <v>116</v>
      </c>
      <c r="D30" s="4" t="s">
        <v>228</v>
      </c>
      <c r="E30" s="4" t="s">
        <v>131</v>
      </c>
      <c r="F30" s="4" t="s">
        <v>237</v>
      </c>
      <c r="G30" s="42">
        <v>15</v>
      </c>
      <c r="H30" s="34" t="s">
        <v>462</v>
      </c>
      <c r="I30" s="37">
        <v>15</v>
      </c>
      <c r="J30" s="4">
        <v>1</v>
      </c>
      <c r="K30" s="4">
        <v>35000</v>
      </c>
      <c r="L30" s="4">
        <v>0</v>
      </c>
      <c r="M30" s="46">
        <f>+P30/G30*1000</f>
        <v>2333.3333333333335</v>
      </c>
      <c r="N30" s="4">
        <v>35</v>
      </c>
      <c r="O30" s="4">
        <v>0</v>
      </c>
      <c r="P30" s="36">
        <v>35</v>
      </c>
      <c r="Q30" s="3">
        <v>0</v>
      </c>
      <c r="R30" s="42">
        <v>4.5</v>
      </c>
      <c r="S30" s="51">
        <v>4.5</v>
      </c>
    </row>
    <row r="31" spans="1:20" ht="15">
      <c r="A31" s="4" t="s">
        <v>351</v>
      </c>
      <c r="B31" s="4" t="s">
        <v>29</v>
      </c>
      <c r="C31" s="4" t="s">
        <v>116</v>
      </c>
      <c r="D31" s="4" t="s">
        <v>342</v>
      </c>
      <c r="E31" s="4" t="s">
        <v>343</v>
      </c>
      <c r="F31" s="4" t="s">
        <v>352</v>
      </c>
      <c r="G31" s="42">
        <v>1</v>
      </c>
      <c r="H31" s="34" t="s">
        <v>458</v>
      </c>
      <c r="I31" s="35">
        <v>20</v>
      </c>
      <c r="J31" s="35">
        <v>20</v>
      </c>
      <c r="K31" s="4">
        <v>20000</v>
      </c>
      <c r="L31" s="4">
        <v>0</v>
      </c>
      <c r="M31" s="46">
        <f>+P31/G31*1000</f>
        <v>35000</v>
      </c>
      <c r="N31" s="4">
        <v>20</v>
      </c>
      <c r="O31" s="4">
        <v>15</v>
      </c>
      <c r="P31" s="36">
        <f>+N31+O31</f>
        <v>35</v>
      </c>
      <c r="Q31" s="3">
        <v>4</v>
      </c>
      <c r="R31" s="42">
        <v>5</v>
      </c>
      <c r="S31" s="51">
        <v>9</v>
      </c>
    </row>
    <row r="32" spans="1:20" ht="15">
      <c r="A32" s="8" t="s">
        <v>39</v>
      </c>
      <c r="B32" s="4" t="s">
        <v>29</v>
      </c>
      <c r="C32" s="4" t="s">
        <v>22</v>
      </c>
      <c r="D32" s="4" t="s">
        <v>30</v>
      </c>
      <c r="E32" s="4" t="s">
        <v>31</v>
      </c>
      <c r="F32" s="4" t="s">
        <v>40</v>
      </c>
      <c r="G32" s="42">
        <v>2</v>
      </c>
      <c r="H32" s="34" t="s">
        <v>456</v>
      </c>
      <c r="I32" s="35">
        <v>20</v>
      </c>
      <c r="J32" s="35">
        <v>10</v>
      </c>
      <c r="K32" s="4">
        <v>0</v>
      </c>
      <c r="L32" s="4">
        <v>30000</v>
      </c>
      <c r="M32" s="46">
        <f>+P32/G32*1000</f>
        <v>15000</v>
      </c>
      <c r="N32" s="4">
        <v>30</v>
      </c>
      <c r="O32" s="4">
        <v>0</v>
      </c>
      <c r="P32" s="36">
        <v>30</v>
      </c>
      <c r="Q32" s="3">
        <v>0</v>
      </c>
      <c r="R32" s="42">
        <v>5</v>
      </c>
      <c r="S32" s="51">
        <v>5</v>
      </c>
    </row>
    <row r="33" spans="1:19" ht="15">
      <c r="A33" s="4" t="s">
        <v>147</v>
      </c>
      <c r="B33" s="4" t="s">
        <v>29</v>
      </c>
      <c r="C33" s="4" t="s">
        <v>22</v>
      </c>
      <c r="D33" s="4" t="s">
        <v>134</v>
      </c>
      <c r="E33" s="4" t="s">
        <v>143</v>
      </c>
      <c r="F33" s="4" t="s">
        <v>148</v>
      </c>
      <c r="G33" s="42" t="s">
        <v>473</v>
      </c>
      <c r="H33" s="34" t="s">
        <v>465</v>
      </c>
      <c r="I33" s="4">
        <v>200</v>
      </c>
      <c r="J33" s="4">
        <v>1</v>
      </c>
      <c r="K33" s="4">
        <v>0</v>
      </c>
      <c r="L33" s="4">
        <v>30000</v>
      </c>
      <c r="M33" s="46">
        <f>+P33/2*1000</f>
        <v>15000</v>
      </c>
      <c r="N33" s="4">
        <v>30</v>
      </c>
      <c r="O33" s="4">
        <v>0</v>
      </c>
      <c r="P33" s="36">
        <v>30</v>
      </c>
      <c r="Q33" s="3">
        <v>0</v>
      </c>
      <c r="R33" s="42">
        <v>10</v>
      </c>
      <c r="S33" s="51">
        <v>10</v>
      </c>
    </row>
    <row r="34" spans="1:19" ht="15">
      <c r="A34" s="4" t="s">
        <v>205</v>
      </c>
      <c r="B34" s="4" t="s">
        <v>29</v>
      </c>
      <c r="C34" s="4" t="s">
        <v>116</v>
      </c>
      <c r="D34" s="4" t="s">
        <v>202</v>
      </c>
      <c r="E34" s="4" t="s">
        <v>203</v>
      </c>
      <c r="F34" s="4" t="s">
        <v>206</v>
      </c>
      <c r="G34" s="42">
        <v>5</v>
      </c>
      <c r="H34" s="34" t="s">
        <v>461</v>
      </c>
      <c r="I34" s="35">
        <v>20</v>
      </c>
      <c r="J34" s="35">
        <v>4</v>
      </c>
      <c r="K34" s="4">
        <v>5000</v>
      </c>
      <c r="L34" s="4">
        <v>0</v>
      </c>
      <c r="M34" s="46">
        <f>+P34/G34*1000</f>
        <v>6000</v>
      </c>
      <c r="N34" s="4">
        <v>5</v>
      </c>
      <c r="O34" s="4">
        <v>25</v>
      </c>
      <c r="P34" s="36">
        <v>30</v>
      </c>
      <c r="Q34" s="3">
        <v>10</v>
      </c>
      <c r="R34" s="42">
        <v>5</v>
      </c>
      <c r="S34" s="51">
        <v>15</v>
      </c>
    </row>
    <row r="35" spans="1:19" ht="15">
      <c r="A35" s="4" t="s">
        <v>273</v>
      </c>
      <c r="B35" s="4" t="s">
        <v>29</v>
      </c>
      <c r="C35" s="4" t="s">
        <v>116</v>
      </c>
      <c r="D35" s="4" t="s">
        <v>228</v>
      </c>
      <c r="E35" s="4" t="s">
        <v>239</v>
      </c>
      <c r="F35" s="4" t="s">
        <v>274</v>
      </c>
      <c r="G35" s="42">
        <v>2</v>
      </c>
      <c r="H35" s="34" t="s">
        <v>456</v>
      </c>
      <c r="I35" s="35">
        <v>20</v>
      </c>
      <c r="J35" s="35">
        <v>10</v>
      </c>
      <c r="K35" s="4">
        <v>30000</v>
      </c>
      <c r="L35" s="4">
        <v>0</v>
      </c>
      <c r="M35" s="46">
        <f>+P35/G35*1000</f>
        <v>15000</v>
      </c>
      <c r="N35" s="4">
        <v>30</v>
      </c>
      <c r="O35" s="4">
        <v>0</v>
      </c>
      <c r="P35" s="36">
        <v>30</v>
      </c>
      <c r="Q35" s="3">
        <v>0</v>
      </c>
      <c r="R35" s="42">
        <v>10</v>
      </c>
      <c r="S35" s="51">
        <v>10</v>
      </c>
    </row>
    <row r="36" spans="1:19" ht="15">
      <c r="A36" s="4" t="s">
        <v>349</v>
      </c>
      <c r="B36" s="4" t="s">
        <v>29</v>
      </c>
      <c r="C36" s="4" t="s">
        <v>116</v>
      </c>
      <c r="D36" s="4" t="s">
        <v>342</v>
      </c>
      <c r="E36" s="4" t="s">
        <v>343</v>
      </c>
      <c r="F36" s="4" t="s">
        <v>350</v>
      </c>
      <c r="G36" s="42">
        <v>5</v>
      </c>
      <c r="H36" s="34" t="s">
        <v>461</v>
      </c>
      <c r="I36" s="35">
        <v>20</v>
      </c>
      <c r="J36" s="35">
        <v>4</v>
      </c>
      <c r="K36" s="4">
        <v>20000</v>
      </c>
      <c r="L36" s="4">
        <v>0</v>
      </c>
      <c r="M36" s="46">
        <f>+P36/G36*1000</f>
        <v>6000</v>
      </c>
      <c r="N36" s="4">
        <v>20</v>
      </c>
      <c r="O36" s="4">
        <v>10</v>
      </c>
      <c r="P36" s="36">
        <v>30</v>
      </c>
      <c r="Q36" s="3">
        <v>7.5</v>
      </c>
      <c r="R36" s="42">
        <v>5</v>
      </c>
      <c r="S36" s="51">
        <v>12.5</v>
      </c>
    </row>
    <row r="37" spans="1:19" ht="15">
      <c r="A37" s="4" t="s">
        <v>385</v>
      </c>
      <c r="B37" s="4" t="s">
        <v>29</v>
      </c>
      <c r="C37" s="4" t="s">
        <v>116</v>
      </c>
      <c r="D37" s="4" t="s">
        <v>380</v>
      </c>
      <c r="E37" s="4" t="s">
        <v>381</v>
      </c>
      <c r="F37" s="4" t="s">
        <v>386</v>
      </c>
      <c r="G37" s="42">
        <v>15</v>
      </c>
      <c r="H37" s="34" t="s">
        <v>462</v>
      </c>
      <c r="I37" s="37">
        <v>15</v>
      </c>
      <c r="J37" s="4">
        <v>1</v>
      </c>
      <c r="K37" s="4">
        <v>30000</v>
      </c>
      <c r="L37" s="4">
        <v>0</v>
      </c>
      <c r="M37" s="46">
        <f>+P37/G37*1000</f>
        <v>2000</v>
      </c>
      <c r="N37" s="4">
        <v>30</v>
      </c>
      <c r="O37" s="4">
        <v>0</v>
      </c>
      <c r="P37" s="36">
        <v>30</v>
      </c>
      <c r="Q37" s="3">
        <v>0</v>
      </c>
      <c r="R37" s="42">
        <v>5</v>
      </c>
      <c r="S37" s="51">
        <v>5</v>
      </c>
    </row>
    <row r="38" spans="1:19" ht="15">
      <c r="A38" s="4" t="s">
        <v>149</v>
      </c>
      <c r="B38" s="4" t="s">
        <v>29</v>
      </c>
      <c r="C38" s="4" t="s">
        <v>22</v>
      </c>
      <c r="D38" s="4" t="s">
        <v>134</v>
      </c>
      <c r="E38" s="4" t="s">
        <v>143</v>
      </c>
      <c r="F38" s="4" t="s">
        <v>150</v>
      </c>
      <c r="G38" s="42">
        <v>2</v>
      </c>
      <c r="H38" s="34" t="s">
        <v>456</v>
      </c>
      <c r="I38" s="35">
        <v>20</v>
      </c>
      <c r="J38" s="35">
        <v>10</v>
      </c>
      <c r="K38" s="4">
        <v>0</v>
      </c>
      <c r="L38" s="4">
        <v>2000</v>
      </c>
      <c r="M38" s="46">
        <f>+P38/G38*1000</f>
        <v>13500</v>
      </c>
      <c r="N38" s="4">
        <v>2</v>
      </c>
      <c r="O38" s="4">
        <v>25</v>
      </c>
      <c r="P38" s="36">
        <v>27</v>
      </c>
      <c r="Q38" s="3">
        <v>10</v>
      </c>
      <c r="R38" s="42"/>
      <c r="S38" s="51">
        <v>10</v>
      </c>
    </row>
    <row r="39" spans="1:19" ht="15">
      <c r="A39" s="4" t="s">
        <v>320</v>
      </c>
      <c r="B39" s="4" t="s">
        <v>29</v>
      </c>
      <c r="C39" s="4" t="s">
        <v>116</v>
      </c>
      <c r="D39" s="4" t="s">
        <v>321</v>
      </c>
      <c r="E39" s="4" t="s">
        <v>322</v>
      </c>
      <c r="F39" s="4" t="s">
        <v>323</v>
      </c>
      <c r="G39" s="42">
        <v>5</v>
      </c>
      <c r="H39" s="34" t="s">
        <v>461</v>
      </c>
      <c r="I39" s="35">
        <v>20</v>
      </c>
      <c r="J39" s="35">
        <v>4</v>
      </c>
      <c r="K39" s="4">
        <v>6000</v>
      </c>
      <c r="L39" s="4">
        <v>0</v>
      </c>
      <c r="M39" s="46">
        <f>+P39/G39*1000</f>
        <v>5200</v>
      </c>
      <c r="N39" s="4">
        <v>6</v>
      </c>
      <c r="O39" s="4">
        <v>20</v>
      </c>
      <c r="P39" s="36">
        <v>26</v>
      </c>
      <c r="Q39" s="3">
        <v>7.5</v>
      </c>
      <c r="R39" s="42">
        <v>1</v>
      </c>
      <c r="S39" s="51">
        <v>8.5</v>
      </c>
    </row>
    <row r="40" spans="1:19" ht="15">
      <c r="A40" s="4" t="s">
        <v>332</v>
      </c>
      <c r="B40" s="4" t="s">
        <v>29</v>
      </c>
      <c r="C40" s="4" t="s">
        <v>22</v>
      </c>
      <c r="D40" s="4" t="s">
        <v>333</v>
      </c>
      <c r="E40" s="4" t="s">
        <v>333</v>
      </c>
      <c r="F40" s="40" t="s">
        <v>334</v>
      </c>
      <c r="G40" s="42">
        <v>1</v>
      </c>
      <c r="H40" s="34" t="s">
        <v>464</v>
      </c>
      <c r="I40" s="35">
        <v>16</v>
      </c>
      <c r="J40" s="35">
        <v>16</v>
      </c>
      <c r="K40" s="4">
        <v>0</v>
      </c>
      <c r="L40" s="4">
        <v>5000</v>
      </c>
      <c r="M40" s="46">
        <f>+P40/G40*1000</f>
        <v>25000</v>
      </c>
      <c r="N40" s="4">
        <v>5</v>
      </c>
      <c r="O40" s="4">
        <v>20</v>
      </c>
      <c r="P40" s="36">
        <v>25</v>
      </c>
      <c r="Q40" s="3">
        <v>8</v>
      </c>
      <c r="R40" s="42"/>
      <c r="S40" s="51">
        <v>8</v>
      </c>
    </row>
    <row r="41" spans="1:19" ht="15">
      <c r="A41" s="4" t="s">
        <v>145</v>
      </c>
      <c r="B41" s="4" t="s">
        <v>29</v>
      </c>
      <c r="C41" s="4" t="s">
        <v>22</v>
      </c>
      <c r="D41" s="4" t="s">
        <v>134</v>
      </c>
      <c r="E41" s="4" t="s">
        <v>143</v>
      </c>
      <c r="F41" s="4" t="s">
        <v>146</v>
      </c>
      <c r="G41" s="42">
        <v>5</v>
      </c>
      <c r="H41" s="34" t="s">
        <v>462</v>
      </c>
      <c r="I41" s="35">
        <v>20</v>
      </c>
      <c r="J41" s="35">
        <v>4</v>
      </c>
      <c r="K41" s="4">
        <v>0</v>
      </c>
      <c r="L41" s="4">
        <v>8000</v>
      </c>
      <c r="M41" s="46">
        <f>+P41/G41*1000</f>
        <v>4600</v>
      </c>
      <c r="N41" s="4">
        <v>8</v>
      </c>
      <c r="O41" s="4">
        <v>15</v>
      </c>
      <c r="P41" s="36">
        <v>23</v>
      </c>
      <c r="Q41" s="3">
        <v>0</v>
      </c>
      <c r="R41" s="42"/>
      <c r="S41" s="51">
        <v>0</v>
      </c>
    </row>
    <row r="42" spans="1:19" ht="15">
      <c r="A42" s="4" t="s">
        <v>405</v>
      </c>
      <c r="B42" s="4" t="s">
        <v>29</v>
      </c>
      <c r="C42" s="4" t="s">
        <v>22</v>
      </c>
      <c r="D42" s="4" t="s">
        <v>253</v>
      </c>
      <c r="E42" s="4" t="s">
        <v>253</v>
      </c>
      <c r="F42" s="4" t="s">
        <v>406</v>
      </c>
      <c r="G42" s="42">
        <v>5</v>
      </c>
      <c r="H42" s="34" t="s">
        <v>462</v>
      </c>
      <c r="I42" s="35">
        <v>20</v>
      </c>
      <c r="J42" s="35">
        <v>4</v>
      </c>
      <c r="K42" s="4">
        <v>0</v>
      </c>
      <c r="L42" s="4">
        <v>8000</v>
      </c>
      <c r="M42" s="46">
        <f>+P42/G42*1000</f>
        <v>4600</v>
      </c>
      <c r="N42" s="4">
        <v>8</v>
      </c>
      <c r="O42" s="4">
        <v>15</v>
      </c>
      <c r="P42" s="36">
        <v>23</v>
      </c>
      <c r="Q42" s="3">
        <v>15</v>
      </c>
      <c r="R42" s="42">
        <v>6</v>
      </c>
      <c r="S42" s="51">
        <v>21</v>
      </c>
    </row>
    <row r="43" spans="1:19" ht="15">
      <c r="A43" s="4" t="s">
        <v>158</v>
      </c>
      <c r="B43" s="4" t="s">
        <v>29</v>
      </c>
      <c r="C43" s="4" t="s">
        <v>22</v>
      </c>
      <c r="D43" s="4" t="s">
        <v>159</v>
      </c>
      <c r="E43" s="4" t="s">
        <v>159</v>
      </c>
      <c r="F43" s="4" t="s">
        <v>160</v>
      </c>
      <c r="G43" s="42">
        <v>1</v>
      </c>
      <c r="H43" s="34" t="s">
        <v>459</v>
      </c>
      <c r="I43" s="35">
        <v>16</v>
      </c>
      <c r="J43" s="35">
        <v>16</v>
      </c>
      <c r="K43" s="4">
        <v>0</v>
      </c>
      <c r="L43" s="4">
        <v>12000</v>
      </c>
      <c r="M43" s="46">
        <f>+P43/G43*1000</f>
        <v>22000</v>
      </c>
      <c r="N43" s="4">
        <v>12</v>
      </c>
      <c r="O43" s="4">
        <v>10</v>
      </c>
      <c r="P43" s="36">
        <v>22</v>
      </c>
      <c r="Q43" s="3">
        <v>4</v>
      </c>
      <c r="R43" s="42"/>
      <c r="S43" s="51">
        <v>4</v>
      </c>
    </row>
    <row r="44" spans="1:19" ht="15">
      <c r="A44" s="4" t="s">
        <v>324</v>
      </c>
      <c r="B44" s="4" t="s">
        <v>29</v>
      </c>
      <c r="C44" s="4" t="s">
        <v>116</v>
      </c>
      <c r="D44" s="4" t="s">
        <v>321</v>
      </c>
      <c r="E44" s="4" t="s">
        <v>322</v>
      </c>
      <c r="F44" s="4" t="s">
        <v>325</v>
      </c>
      <c r="G44" s="42">
        <v>1</v>
      </c>
      <c r="H44" s="34" t="s">
        <v>459</v>
      </c>
      <c r="I44" s="35">
        <v>20</v>
      </c>
      <c r="J44" s="35">
        <v>20</v>
      </c>
      <c r="K44" s="4">
        <v>6000</v>
      </c>
      <c r="L44" s="4">
        <v>0</v>
      </c>
      <c r="M44" s="46">
        <f>+P44/G44*1000</f>
        <v>21000</v>
      </c>
      <c r="N44" s="4">
        <v>6</v>
      </c>
      <c r="O44" s="4">
        <v>15</v>
      </c>
      <c r="P44" s="36">
        <f>+N44+O44</f>
        <v>21</v>
      </c>
      <c r="Q44" s="3">
        <v>7.5</v>
      </c>
      <c r="R44" s="42">
        <v>1</v>
      </c>
      <c r="S44" s="51">
        <v>8.5</v>
      </c>
    </row>
    <row r="45" spans="1:19" ht="15">
      <c r="A45" s="31" t="s">
        <v>453</v>
      </c>
      <c r="B45" s="4" t="s">
        <v>29</v>
      </c>
      <c r="C45" s="4" t="s">
        <v>22</v>
      </c>
      <c r="D45" s="4" t="s">
        <v>208</v>
      </c>
      <c r="E45" s="4" t="s">
        <v>209</v>
      </c>
      <c r="F45" s="4" t="s">
        <v>454</v>
      </c>
      <c r="G45" s="41" t="s">
        <v>474</v>
      </c>
      <c r="H45" s="41" t="s">
        <v>456</v>
      </c>
      <c r="I45" s="4" t="e">
        <f>+G45*J45</f>
        <v>#VALUE!</v>
      </c>
      <c r="J45" s="4">
        <v>70</v>
      </c>
      <c r="K45" s="4">
        <v>0</v>
      </c>
      <c r="L45" s="4">
        <v>0</v>
      </c>
      <c r="M45" s="46">
        <f>+P45/0.2*1000</f>
        <v>105000</v>
      </c>
      <c r="N45" s="4">
        <v>0</v>
      </c>
      <c r="O45" s="4">
        <v>21</v>
      </c>
      <c r="P45" s="36">
        <v>21</v>
      </c>
      <c r="Q45" s="3">
        <v>10</v>
      </c>
      <c r="R45" s="41"/>
      <c r="S45" s="51">
        <v>10</v>
      </c>
    </row>
    <row r="46" spans="1:19" ht="15">
      <c r="A46" s="2" t="s">
        <v>410</v>
      </c>
      <c r="B46" s="4" t="s">
        <v>29</v>
      </c>
      <c r="C46" s="4" t="s">
        <v>22</v>
      </c>
      <c r="D46" s="4" t="s">
        <v>30</v>
      </c>
      <c r="E46" s="4" t="s">
        <v>31</v>
      </c>
      <c r="F46" s="2" t="s">
        <v>411</v>
      </c>
      <c r="G46" s="42">
        <v>3</v>
      </c>
      <c r="H46" s="34" t="s">
        <v>466</v>
      </c>
      <c r="I46" s="35">
        <v>18</v>
      </c>
      <c r="J46" s="35">
        <v>6</v>
      </c>
      <c r="K46" s="4">
        <v>0</v>
      </c>
      <c r="L46" s="4">
        <v>20000</v>
      </c>
      <c r="M46" s="46">
        <f>+P46/G46*1000</f>
        <v>6666.666666666667</v>
      </c>
      <c r="N46" s="4">
        <v>20</v>
      </c>
      <c r="O46" s="4">
        <v>0</v>
      </c>
      <c r="P46" s="36">
        <v>20</v>
      </c>
      <c r="Q46" s="3">
        <v>0</v>
      </c>
      <c r="R46" s="42">
        <v>3</v>
      </c>
      <c r="S46" s="51">
        <v>3</v>
      </c>
    </row>
    <row r="47" spans="1:19" ht="15">
      <c r="A47" s="4" t="s">
        <v>227</v>
      </c>
      <c r="B47" s="4" t="s">
        <v>29</v>
      </c>
      <c r="C47" s="4" t="s">
        <v>116</v>
      </c>
      <c r="D47" s="4" t="s">
        <v>228</v>
      </c>
      <c r="E47" s="4" t="s">
        <v>131</v>
      </c>
      <c r="F47" s="4" t="s">
        <v>229</v>
      </c>
      <c r="G47" s="42">
        <v>1</v>
      </c>
      <c r="H47" s="34" t="s">
        <v>467</v>
      </c>
      <c r="I47" s="35">
        <v>20</v>
      </c>
      <c r="J47" s="35">
        <v>20</v>
      </c>
      <c r="K47" s="4">
        <v>20000</v>
      </c>
      <c r="L47" s="4">
        <v>0</v>
      </c>
      <c r="M47" s="46">
        <f>+P47/G47*1000</f>
        <v>370000</v>
      </c>
      <c r="N47" s="4">
        <v>20</v>
      </c>
      <c r="O47" s="4">
        <v>350</v>
      </c>
      <c r="P47" s="36">
        <f>+N47+O47</f>
        <v>370</v>
      </c>
      <c r="Q47" s="3">
        <v>0</v>
      </c>
      <c r="R47" s="64">
        <v>0</v>
      </c>
      <c r="S47" s="51">
        <v>0</v>
      </c>
    </row>
    <row r="48" spans="1:19" ht="15">
      <c r="A48" s="4" t="s">
        <v>232</v>
      </c>
      <c r="B48" s="4" t="s">
        <v>29</v>
      </c>
      <c r="C48" s="4" t="s">
        <v>116</v>
      </c>
      <c r="D48" s="4" t="s">
        <v>228</v>
      </c>
      <c r="E48" s="4" t="s">
        <v>131</v>
      </c>
      <c r="F48" s="4" t="s">
        <v>233</v>
      </c>
      <c r="G48" s="42" t="s">
        <v>463</v>
      </c>
      <c r="H48" s="34" t="s">
        <v>463</v>
      </c>
      <c r="I48" s="35">
        <v>12</v>
      </c>
      <c r="J48" s="35">
        <v>12</v>
      </c>
      <c r="K48" s="4">
        <v>20000</v>
      </c>
      <c r="L48" s="4">
        <v>0</v>
      </c>
      <c r="M48" s="46" t="e">
        <f>+P48/G48*1000</f>
        <v>#VALUE!</v>
      </c>
      <c r="N48" s="4">
        <v>20</v>
      </c>
      <c r="O48" s="4">
        <v>0</v>
      </c>
      <c r="P48" s="36">
        <v>20</v>
      </c>
      <c r="Q48" s="3">
        <v>0</v>
      </c>
      <c r="R48" s="42">
        <v>15</v>
      </c>
      <c r="S48" s="51">
        <v>15</v>
      </c>
    </row>
    <row r="49" spans="1:19" ht="15">
      <c r="A49" s="6" t="s">
        <v>441</v>
      </c>
      <c r="B49" s="4" t="s">
        <v>29</v>
      </c>
      <c r="C49" s="4" t="s">
        <v>22</v>
      </c>
      <c r="D49" s="4" t="s">
        <v>208</v>
      </c>
      <c r="E49" s="4" t="s">
        <v>209</v>
      </c>
      <c r="F49" s="4" t="s">
        <v>442</v>
      </c>
      <c r="G49" s="42">
        <v>2</v>
      </c>
      <c r="H49" s="34" t="s">
        <v>456</v>
      </c>
      <c r="I49" s="4">
        <f>+G49*J49</f>
        <v>20</v>
      </c>
      <c r="J49" s="4">
        <v>10</v>
      </c>
      <c r="K49" s="4">
        <v>0</v>
      </c>
      <c r="L49" s="4">
        <v>0</v>
      </c>
      <c r="M49" s="46">
        <f>+P49/G49*1000</f>
        <v>10000</v>
      </c>
      <c r="N49" s="4">
        <v>0</v>
      </c>
      <c r="O49" s="4">
        <v>20</v>
      </c>
      <c r="P49" s="36">
        <v>20</v>
      </c>
      <c r="Q49" s="3">
        <v>10</v>
      </c>
      <c r="R49" s="64">
        <v>0</v>
      </c>
      <c r="S49" s="51">
        <v>10</v>
      </c>
    </row>
    <row r="50" spans="1:19" ht="15">
      <c r="A50" s="4" t="s">
        <v>275</v>
      </c>
      <c r="B50" s="4" t="s">
        <v>15</v>
      </c>
      <c r="C50" s="4" t="s">
        <v>22</v>
      </c>
      <c r="D50" s="4" t="s">
        <v>276</v>
      </c>
      <c r="E50" s="4" t="s">
        <v>18</v>
      </c>
      <c r="F50" s="4" t="s">
        <v>27</v>
      </c>
      <c r="G50" s="42">
        <v>5</v>
      </c>
      <c r="H50" s="34" t="s">
        <v>461</v>
      </c>
      <c r="I50" s="35">
        <v>20</v>
      </c>
      <c r="J50" s="35">
        <v>4</v>
      </c>
      <c r="K50" s="4">
        <v>2000</v>
      </c>
      <c r="L50" s="4">
        <v>0</v>
      </c>
      <c r="M50" s="46">
        <f>+P50/G50*1000</f>
        <v>3400</v>
      </c>
      <c r="N50" s="4">
        <v>2</v>
      </c>
      <c r="O50" s="4">
        <v>15</v>
      </c>
      <c r="P50" s="36">
        <v>17</v>
      </c>
      <c r="Q50" s="3">
        <v>7.5</v>
      </c>
      <c r="R50" s="42"/>
      <c r="S50" s="51">
        <v>7.5</v>
      </c>
    </row>
    <row r="51" spans="1:19" ht="15">
      <c r="A51" s="4" t="s">
        <v>14</v>
      </c>
      <c r="B51" s="4" t="s">
        <v>15</v>
      </c>
      <c r="C51" s="4" t="s">
        <v>22</v>
      </c>
      <c r="D51" s="4" t="s">
        <v>17</v>
      </c>
      <c r="E51" s="4" t="s">
        <v>18</v>
      </c>
      <c r="F51" s="4" t="s">
        <v>19</v>
      </c>
      <c r="G51" s="42">
        <v>1</v>
      </c>
      <c r="H51" s="34" t="s">
        <v>459</v>
      </c>
      <c r="I51" s="35">
        <v>16</v>
      </c>
      <c r="J51" s="35">
        <v>16</v>
      </c>
      <c r="K51" s="4">
        <v>0</v>
      </c>
      <c r="L51" s="4">
        <v>0</v>
      </c>
      <c r="M51" s="46">
        <f>+P51/G51*1000</f>
        <v>15000</v>
      </c>
      <c r="N51" s="4">
        <v>0</v>
      </c>
      <c r="O51" s="4">
        <v>15</v>
      </c>
      <c r="P51" s="36">
        <v>15</v>
      </c>
      <c r="Q51" s="3">
        <v>7.5</v>
      </c>
      <c r="R51" s="42"/>
      <c r="S51" s="51">
        <v>7.5</v>
      </c>
    </row>
    <row r="52" spans="1:19" ht="15">
      <c r="A52" s="4" t="s">
        <v>245</v>
      </c>
      <c r="B52" s="4" t="s">
        <v>29</v>
      </c>
      <c r="C52" s="4" t="s">
        <v>116</v>
      </c>
      <c r="D52" s="4" t="s">
        <v>228</v>
      </c>
      <c r="E52" s="4" t="s">
        <v>239</v>
      </c>
      <c r="F52" s="4" t="s">
        <v>246</v>
      </c>
      <c r="G52" s="42">
        <v>5</v>
      </c>
      <c r="H52" s="34" t="s">
        <v>461</v>
      </c>
      <c r="I52" s="35">
        <v>20</v>
      </c>
      <c r="J52" s="35">
        <v>4</v>
      </c>
      <c r="K52" s="4">
        <v>15000</v>
      </c>
      <c r="L52" s="4">
        <v>0</v>
      </c>
      <c r="M52" s="46">
        <f>+P52/G52*1000</f>
        <v>3000</v>
      </c>
      <c r="N52" s="4">
        <v>15</v>
      </c>
      <c r="O52" s="4">
        <v>0</v>
      </c>
      <c r="P52" s="36">
        <v>15</v>
      </c>
      <c r="Q52" s="3">
        <v>0</v>
      </c>
      <c r="R52" s="42">
        <v>10</v>
      </c>
      <c r="S52" s="51">
        <v>10</v>
      </c>
    </row>
    <row r="53" spans="1:19" ht="15">
      <c r="A53" s="8" t="s">
        <v>57</v>
      </c>
      <c r="B53" s="4" t="s">
        <v>29</v>
      </c>
      <c r="C53" s="4" t="s">
        <v>22</v>
      </c>
      <c r="D53" s="4" t="s">
        <v>30</v>
      </c>
      <c r="E53" s="4" t="s">
        <v>31</v>
      </c>
      <c r="F53" s="4" t="s">
        <v>58</v>
      </c>
      <c r="G53" s="42" t="s">
        <v>463</v>
      </c>
      <c r="H53" s="34" t="s">
        <v>463</v>
      </c>
      <c r="I53" s="35">
        <v>12</v>
      </c>
      <c r="J53" s="35">
        <v>12</v>
      </c>
      <c r="K53" s="4">
        <v>0</v>
      </c>
      <c r="L53" s="4">
        <v>2400</v>
      </c>
      <c r="M53" s="46" t="e">
        <f>+P53/G53*1000</f>
        <v>#VALUE!</v>
      </c>
      <c r="N53" s="4">
        <v>2.4</v>
      </c>
      <c r="O53" s="4">
        <v>8</v>
      </c>
      <c r="P53" s="36">
        <v>10.4</v>
      </c>
      <c r="Q53" s="3">
        <v>3</v>
      </c>
      <c r="R53" s="42"/>
      <c r="S53" s="51">
        <v>3</v>
      </c>
    </row>
    <row r="54" spans="1:19" ht="15">
      <c r="A54" s="4" t="s">
        <v>115</v>
      </c>
      <c r="B54" s="4" t="s">
        <v>29</v>
      </c>
      <c r="C54" s="4" t="s">
        <v>116</v>
      </c>
      <c r="D54" s="4" t="s">
        <v>117</v>
      </c>
      <c r="E54" s="4" t="s">
        <v>117</v>
      </c>
      <c r="F54" s="4" t="s">
        <v>118</v>
      </c>
      <c r="G54" s="42">
        <v>15</v>
      </c>
      <c r="H54" s="34" t="s">
        <v>462</v>
      </c>
      <c r="I54" s="37">
        <v>15</v>
      </c>
      <c r="J54" s="4">
        <v>1</v>
      </c>
      <c r="K54" s="4">
        <v>10000</v>
      </c>
      <c r="L54" s="4">
        <v>0</v>
      </c>
      <c r="M54" s="46">
        <f>+P54/G54*1000</f>
        <v>666.66666666666663</v>
      </c>
      <c r="N54" s="4">
        <v>10</v>
      </c>
      <c r="O54" s="4">
        <v>0</v>
      </c>
      <c r="P54" s="36">
        <v>10</v>
      </c>
      <c r="Q54" s="3">
        <v>0</v>
      </c>
      <c r="R54" s="64">
        <v>0</v>
      </c>
      <c r="S54" s="51">
        <v>0</v>
      </c>
    </row>
    <row r="55" spans="1:19" ht="15">
      <c r="A55" s="4" t="s">
        <v>119</v>
      </c>
      <c r="B55" s="4" t="s">
        <v>29</v>
      </c>
      <c r="C55" s="4" t="s">
        <v>116</v>
      </c>
      <c r="D55" s="4" t="s">
        <v>117</v>
      </c>
      <c r="E55" s="4" t="s">
        <v>117</v>
      </c>
      <c r="F55" s="4" t="s">
        <v>120</v>
      </c>
      <c r="G55" s="42">
        <v>15</v>
      </c>
      <c r="H55" s="34" t="s">
        <v>462</v>
      </c>
      <c r="I55" s="37">
        <v>15</v>
      </c>
      <c r="J55" s="4">
        <v>1</v>
      </c>
      <c r="K55" s="4">
        <v>10000</v>
      </c>
      <c r="L55" s="4">
        <v>0</v>
      </c>
      <c r="M55" s="46">
        <f>+P55/G55*1000</f>
        <v>666.66666666666663</v>
      </c>
      <c r="N55" s="4">
        <v>10</v>
      </c>
      <c r="O55" s="4">
        <v>0</v>
      </c>
      <c r="P55" s="36">
        <v>10</v>
      </c>
      <c r="Q55" s="3">
        <v>0</v>
      </c>
      <c r="R55" s="42">
        <v>7.5</v>
      </c>
      <c r="S55" s="51">
        <v>7.5</v>
      </c>
    </row>
    <row r="56" spans="1:19" ht="15">
      <c r="A56" s="4" t="s">
        <v>161</v>
      </c>
      <c r="B56" s="4" t="s">
        <v>29</v>
      </c>
      <c r="C56" s="4" t="s">
        <v>22</v>
      </c>
      <c r="D56" s="4" t="s">
        <v>159</v>
      </c>
      <c r="E56" s="4" t="s">
        <v>159</v>
      </c>
      <c r="F56" s="4" t="s">
        <v>162</v>
      </c>
      <c r="G56" s="42">
        <v>5</v>
      </c>
      <c r="H56" s="34" t="s">
        <v>462</v>
      </c>
      <c r="I56" s="35">
        <v>20</v>
      </c>
      <c r="J56" s="35">
        <v>4</v>
      </c>
      <c r="K56" s="4">
        <v>0</v>
      </c>
      <c r="L56" s="4">
        <v>5000</v>
      </c>
      <c r="M56" s="46">
        <f>+P56/G56*1000</f>
        <v>2000</v>
      </c>
      <c r="N56" s="4">
        <v>5</v>
      </c>
      <c r="O56" s="4">
        <v>5</v>
      </c>
      <c r="P56" s="36">
        <v>10</v>
      </c>
      <c r="Q56" s="3">
        <v>2.5</v>
      </c>
      <c r="R56" s="42"/>
      <c r="S56" s="51">
        <v>2.5</v>
      </c>
    </row>
    <row r="57" spans="1:19" ht="15">
      <c r="A57" s="4" t="s">
        <v>435</v>
      </c>
      <c r="B57" s="4" t="s">
        <v>29</v>
      </c>
      <c r="C57" s="4" t="s">
        <v>116</v>
      </c>
      <c r="D57" s="4" t="s">
        <v>321</v>
      </c>
      <c r="E57" s="4" t="s">
        <v>327</v>
      </c>
      <c r="F57" s="4" t="s">
        <v>412</v>
      </c>
      <c r="G57" s="42">
        <v>15</v>
      </c>
      <c r="H57" s="34" t="s">
        <v>462</v>
      </c>
      <c r="I57" s="37">
        <v>15</v>
      </c>
      <c r="J57" s="35">
        <v>1</v>
      </c>
      <c r="K57" s="4">
        <v>10000</v>
      </c>
      <c r="L57" s="4">
        <v>0</v>
      </c>
      <c r="M57" s="46">
        <f>+P57/G57*1000</f>
        <v>666.66666666666663</v>
      </c>
      <c r="N57" s="4">
        <v>10</v>
      </c>
      <c r="O57" s="4">
        <v>0</v>
      </c>
      <c r="P57" s="36">
        <v>10</v>
      </c>
      <c r="Q57" s="3">
        <v>0</v>
      </c>
      <c r="R57" s="64">
        <v>0</v>
      </c>
      <c r="S57" s="51">
        <v>0</v>
      </c>
    </row>
    <row r="58" spans="1:19" ht="15">
      <c r="A58" s="6" t="s">
        <v>414</v>
      </c>
      <c r="B58" s="4" t="s">
        <v>29</v>
      </c>
      <c r="C58" s="4" t="s">
        <v>116</v>
      </c>
      <c r="D58" s="4" t="s">
        <v>321</v>
      </c>
      <c r="E58" s="4" t="s">
        <v>327</v>
      </c>
      <c r="F58" s="4" t="s">
        <v>413</v>
      </c>
      <c r="G58" s="42">
        <v>15</v>
      </c>
      <c r="H58" s="34" t="s">
        <v>462</v>
      </c>
      <c r="I58" s="37">
        <v>15</v>
      </c>
      <c r="J58" s="35">
        <v>1</v>
      </c>
      <c r="K58" s="4">
        <v>10000</v>
      </c>
      <c r="L58" s="4">
        <v>0</v>
      </c>
      <c r="M58" s="46">
        <f>+P58/G58*1000</f>
        <v>666.66666666666663</v>
      </c>
      <c r="N58" s="4">
        <v>10</v>
      </c>
      <c r="O58" s="4">
        <v>0</v>
      </c>
      <c r="P58" s="36">
        <v>10</v>
      </c>
      <c r="Q58" s="3">
        <v>0</v>
      </c>
      <c r="R58" s="64">
        <v>0</v>
      </c>
      <c r="S58" s="51">
        <v>0</v>
      </c>
    </row>
    <row r="59" spans="1:19" ht="15">
      <c r="A59" s="4" t="s">
        <v>243</v>
      </c>
      <c r="B59" s="4" t="s">
        <v>29</v>
      </c>
      <c r="C59" s="4" t="s">
        <v>116</v>
      </c>
      <c r="D59" s="4" t="s">
        <v>228</v>
      </c>
      <c r="E59" s="4" t="s">
        <v>131</v>
      </c>
      <c r="F59" s="4" t="s">
        <v>244</v>
      </c>
      <c r="G59" s="42">
        <v>15</v>
      </c>
      <c r="H59" s="34" t="s">
        <v>462</v>
      </c>
      <c r="I59" s="37">
        <v>15</v>
      </c>
      <c r="J59" s="4">
        <v>1</v>
      </c>
      <c r="K59" s="4">
        <v>9000</v>
      </c>
      <c r="L59" s="4">
        <v>0</v>
      </c>
      <c r="M59" s="46">
        <f>+P59/G59*1000</f>
        <v>600</v>
      </c>
      <c r="N59" s="4">
        <v>9</v>
      </c>
      <c r="O59" s="4">
        <v>0</v>
      </c>
      <c r="P59" s="36">
        <v>9</v>
      </c>
      <c r="Q59" s="3">
        <v>0</v>
      </c>
      <c r="R59" s="64">
        <v>0</v>
      </c>
      <c r="S59" s="51">
        <v>0</v>
      </c>
    </row>
    <row r="60" spans="1:19" ht="15">
      <c r="A60" s="4" t="s">
        <v>294</v>
      </c>
      <c r="B60" s="4" t="s">
        <v>177</v>
      </c>
      <c r="C60" s="4" t="s">
        <v>22</v>
      </c>
      <c r="D60" s="4" t="s">
        <v>282</v>
      </c>
      <c r="E60" s="4" t="s">
        <v>295</v>
      </c>
      <c r="F60" s="4" t="s">
        <v>296</v>
      </c>
      <c r="G60" s="42">
        <v>1</v>
      </c>
      <c r="H60" s="34" t="s">
        <v>459</v>
      </c>
      <c r="I60" s="35">
        <f>G60*J60</f>
        <v>16</v>
      </c>
      <c r="J60" s="35">
        <v>16</v>
      </c>
      <c r="K60" s="4">
        <v>0</v>
      </c>
      <c r="L60" s="4">
        <v>8000</v>
      </c>
      <c r="M60" s="46">
        <f>+P60/G60*1000</f>
        <v>8000</v>
      </c>
      <c r="N60" s="4">
        <v>8</v>
      </c>
      <c r="O60" s="4">
        <v>0</v>
      </c>
      <c r="P60" s="36">
        <v>8</v>
      </c>
      <c r="Q60" s="3">
        <v>0</v>
      </c>
      <c r="R60" s="42"/>
      <c r="S60" s="51">
        <v>0</v>
      </c>
    </row>
    <row r="61" spans="1:19" ht="15">
      <c r="A61" s="4" t="s">
        <v>299</v>
      </c>
      <c r="B61" s="4" t="s">
        <v>29</v>
      </c>
      <c r="C61" s="4" t="s">
        <v>22</v>
      </c>
      <c r="D61" s="4" t="s">
        <v>282</v>
      </c>
      <c r="E61" s="4" t="s">
        <v>283</v>
      </c>
      <c r="F61" s="4" t="s">
        <v>300</v>
      </c>
      <c r="G61" s="42">
        <v>2</v>
      </c>
      <c r="H61" s="34" t="s">
        <v>456</v>
      </c>
      <c r="I61" s="35">
        <v>20</v>
      </c>
      <c r="J61" s="35">
        <v>10</v>
      </c>
      <c r="K61" s="4">
        <v>0</v>
      </c>
      <c r="L61" s="4">
        <v>0</v>
      </c>
      <c r="M61" s="46">
        <f>+P61/G61*1000</f>
        <v>4000</v>
      </c>
      <c r="N61" s="4">
        <v>0</v>
      </c>
      <c r="O61" s="4">
        <v>8</v>
      </c>
      <c r="P61" s="36">
        <v>8</v>
      </c>
      <c r="Q61" s="3">
        <v>4</v>
      </c>
      <c r="R61" s="42"/>
      <c r="S61" s="51">
        <v>4</v>
      </c>
    </row>
    <row r="62" spans="1:19" ht="15">
      <c r="A62" s="4" t="s">
        <v>107</v>
      </c>
      <c r="B62" s="4" t="s">
        <v>29</v>
      </c>
      <c r="C62" s="4" t="s">
        <v>22</v>
      </c>
      <c r="D62" s="4" t="s">
        <v>108</v>
      </c>
      <c r="E62" s="4" t="s">
        <v>109</v>
      </c>
      <c r="F62" s="4" t="s">
        <v>110</v>
      </c>
      <c r="G62" s="42">
        <v>1</v>
      </c>
      <c r="H62" s="34" t="s">
        <v>459</v>
      </c>
      <c r="I62" s="35">
        <v>16</v>
      </c>
      <c r="J62" s="35">
        <v>16</v>
      </c>
      <c r="K62" s="4">
        <v>0</v>
      </c>
      <c r="L62" s="4">
        <v>1000</v>
      </c>
      <c r="M62" s="46">
        <f>+P62/G62*1000</f>
        <v>6000</v>
      </c>
      <c r="N62" s="4">
        <v>1</v>
      </c>
      <c r="O62" s="4">
        <v>5</v>
      </c>
      <c r="P62" s="36">
        <v>6</v>
      </c>
      <c r="Q62" s="3">
        <v>1.5</v>
      </c>
      <c r="R62" s="42"/>
      <c r="S62" s="51">
        <v>1.5</v>
      </c>
    </row>
    <row r="63" spans="1:19" ht="15">
      <c r="A63" s="4" t="s">
        <v>123</v>
      </c>
      <c r="B63" s="4" t="s">
        <v>29</v>
      </c>
      <c r="C63" s="4" t="s">
        <v>22</v>
      </c>
      <c r="D63" s="4" t="s">
        <v>124</v>
      </c>
      <c r="E63" s="4" t="s">
        <v>31</v>
      </c>
      <c r="F63" s="4" t="s">
        <v>125</v>
      </c>
      <c r="G63" s="42">
        <v>1</v>
      </c>
      <c r="H63" s="34" t="s">
        <v>460</v>
      </c>
      <c r="I63" s="35">
        <v>20</v>
      </c>
      <c r="J63" s="4">
        <v>1</v>
      </c>
      <c r="K63" s="4">
        <v>0</v>
      </c>
      <c r="L63" s="4">
        <v>6000</v>
      </c>
      <c r="M63" s="46">
        <f>+P63/G63*1000</f>
        <v>6000</v>
      </c>
      <c r="N63" s="4">
        <v>6</v>
      </c>
      <c r="O63" s="4">
        <v>0</v>
      </c>
      <c r="P63" s="36">
        <v>6</v>
      </c>
      <c r="Q63" s="3"/>
      <c r="R63" s="70">
        <v>2.88</v>
      </c>
      <c r="S63" s="71">
        <v>2.88</v>
      </c>
    </row>
    <row r="64" spans="1:19" ht="15">
      <c r="A64" s="4" t="s">
        <v>126</v>
      </c>
      <c r="B64" s="4" t="s">
        <v>29</v>
      </c>
      <c r="C64" s="4" t="s">
        <v>22</v>
      </c>
      <c r="D64" s="4" t="s">
        <v>124</v>
      </c>
      <c r="E64" s="4" t="s">
        <v>31</v>
      </c>
      <c r="F64" s="4" t="s">
        <v>127</v>
      </c>
      <c r="G64" s="42">
        <v>2</v>
      </c>
      <c r="H64" s="34" t="s">
        <v>456</v>
      </c>
      <c r="I64" s="35">
        <v>20</v>
      </c>
      <c r="J64" s="4">
        <v>1</v>
      </c>
      <c r="K64" s="4">
        <v>0</v>
      </c>
      <c r="L64" s="4">
        <v>6000</v>
      </c>
      <c r="M64" s="46">
        <f>+P64/G64*1000</f>
        <v>3000</v>
      </c>
      <c r="N64" s="4">
        <v>6</v>
      </c>
      <c r="O64" s="4">
        <v>0</v>
      </c>
      <c r="P64" s="36">
        <v>6</v>
      </c>
      <c r="Q64" s="3"/>
      <c r="R64" s="70">
        <v>6.0720000000000001</v>
      </c>
      <c r="S64" s="71">
        <v>6.0720000000000001</v>
      </c>
    </row>
    <row r="65" spans="1:19" ht="15">
      <c r="A65" s="4" t="s">
        <v>128</v>
      </c>
      <c r="B65" s="4" t="s">
        <v>29</v>
      </c>
      <c r="C65" s="4" t="s">
        <v>22</v>
      </c>
      <c r="D65" s="4" t="s">
        <v>124</v>
      </c>
      <c r="E65" s="4" t="s">
        <v>31</v>
      </c>
      <c r="F65" s="4" t="s">
        <v>129</v>
      </c>
      <c r="G65" s="42">
        <v>5</v>
      </c>
      <c r="H65" s="34" t="s">
        <v>461</v>
      </c>
      <c r="I65" s="35">
        <v>20</v>
      </c>
      <c r="J65" s="4">
        <v>1</v>
      </c>
      <c r="K65" s="4">
        <v>0</v>
      </c>
      <c r="L65" s="4">
        <v>6000</v>
      </c>
      <c r="M65" s="46">
        <f>+P65/G65*1000</f>
        <v>1200</v>
      </c>
      <c r="N65" s="4">
        <v>6</v>
      </c>
      <c r="O65" s="4">
        <v>0</v>
      </c>
      <c r="P65" s="36">
        <v>6</v>
      </c>
      <c r="Q65" s="3">
        <v>0</v>
      </c>
      <c r="R65" s="70">
        <v>6.6239999999999997</v>
      </c>
      <c r="S65" s="71">
        <v>6.6239999999999997</v>
      </c>
    </row>
    <row r="66" spans="1:19" ht="15">
      <c r="A66" s="4" t="s">
        <v>304</v>
      </c>
      <c r="B66" s="4" t="s">
        <v>29</v>
      </c>
      <c r="C66" s="4" t="s">
        <v>22</v>
      </c>
      <c r="D66" s="4" t="s">
        <v>282</v>
      </c>
      <c r="E66" s="4" t="s">
        <v>283</v>
      </c>
      <c r="F66" s="4" t="s">
        <v>305</v>
      </c>
      <c r="G66" s="42">
        <v>3</v>
      </c>
      <c r="H66" s="34" t="s">
        <v>462</v>
      </c>
      <c r="I66" s="35">
        <v>18</v>
      </c>
      <c r="J66" s="35">
        <v>6</v>
      </c>
      <c r="K66" s="4">
        <v>0</v>
      </c>
      <c r="L66" s="4">
        <v>0</v>
      </c>
      <c r="M66" s="46">
        <f>+P66/G66*1000</f>
        <v>2000</v>
      </c>
      <c r="N66" s="4">
        <v>0</v>
      </c>
      <c r="O66" s="4">
        <v>6</v>
      </c>
      <c r="P66" s="36">
        <v>6</v>
      </c>
      <c r="Q66" s="3">
        <v>2.4</v>
      </c>
      <c r="R66" s="42"/>
      <c r="S66" s="51">
        <v>2.4</v>
      </c>
    </row>
    <row r="67" spans="1:19" ht="15">
      <c r="A67" s="8" t="s">
        <v>59</v>
      </c>
      <c r="B67" s="4" t="s">
        <v>29</v>
      </c>
      <c r="C67" s="4" t="s">
        <v>22</v>
      </c>
      <c r="D67" s="4" t="s">
        <v>30</v>
      </c>
      <c r="E67" s="4" t="s">
        <v>31</v>
      </c>
      <c r="F67" s="4" t="s">
        <v>60</v>
      </c>
      <c r="G67" s="42">
        <v>2</v>
      </c>
      <c r="H67" s="34" t="s">
        <v>456</v>
      </c>
      <c r="I67" s="35">
        <v>20</v>
      </c>
      <c r="J67" s="35">
        <v>10</v>
      </c>
      <c r="K67" s="4">
        <v>0</v>
      </c>
      <c r="L67" s="4">
        <v>0</v>
      </c>
      <c r="M67" s="46">
        <f>+P67/G67*1000</f>
        <v>2500</v>
      </c>
      <c r="N67" s="4">
        <v>0</v>
      </c>
      <c r="O67" s="4">
        <v>5</v>
      </c>
      <c r="P67" s="36">
        <v>5</v>
      </c>
      <c r="Q67" s="3">
        <v>2</v>
      </c>
      <c r="R67" s="42"/>
      <c r="S67" s="51">
        <v>2</v>
      </c>
    </row>
    <row r="68" spans="1:19" ht="15">
      <c r="A68" s="8" t="s">
        <v>61</v>
      </c>
      <c r="B68" s="4" t="s">
        <v>29</v>
      </c>
      <c r="C68" s="4" t="s">
        <v>22</v>
      </c>
      <c r="D68" s="4" t="s">
        <v>30</v>
      </c>
      <c r="E68" s="4" t="s">
        <v>31</v>
      </c>
      <c r="F68" s="4" t="s">
        <v>62</v>
      </c>
      <c r="G68" s="42">
        <v>2</v>
      </c>
      <c r="H68" s="34" t="s">
        <v>456</v>
      </c>
      <c r="I68" s="35">
        <v>20</v>
      </c>
      <c r="J68" s="35">
        <v>10</v>
      </c>
      <c r="K68" s="4">
        <v>0</v>
      </c>
      <c r="L68" s="4">
        <v>5000</v>
      </c>
      <c r="M68" s="46">
        <f>+P68/G68*1000</f>
        <v>2500</v>
      </c>
      <c r="N68" s="4">
        <v>5</v>
      </c>
      <c r="O68" s="4">
        <v>0</v>
      </c>
      <c r="P68" s="36">
        <v>5</v>
      </c>
      <c r="Q68" s="3">
        <v>0</v>
      </c>
      <c r="R68" s="42">
        <v>3</v>
      </c>
      <c r="S68" s="51">
        <v>3</v>
      </c>
    </row>
    <row r="69" spans="1:19" ht="15">
      <c r="A69" s="4" t="s">
        <v>89</v>
      </c>
      <c r="B69" s="4" t="s">
        <v>29</v>
      </c>
      <c r="C69" s="4" t="s">
        <v>22</v>
      </c>
      <c r="D69" s="4" t="s">
        <v>30</v>
      </c>
      <c r="E69" s="4" t="s">
        <v>31</v>
      </c>
      <c r="F69" s="38" t="s">
        <v>90</v>
      </c>
      <c r="G69" s="39" t="s">
        <v>475</v>
      </c>
      <c r="H69" s="41" t="s">
        <v>456</v>
      </c>
      <c r="I69" s="35" t="e">
        <f>J69*G69</f>
        <v>#VALUE!</v>
      </c>
      <c r="J69" s="38">
        <v>24</v>
      </c>
      <c r="K69" s="4">
        <v>0</v>
      </c>
      <c r="L69" s="4">
        <v>0</v>
      </c>
      <c r="M69" s="46">
        <f>+P69/0.5*1000</f>
        <v>10000</v>
      </c>
      <c r="N69" s="4">
        <v>0</v>
      </c>
      <c r="O69" s="4">
        <v>5</v>
      </c>
      <c r="P69" s="36">
        <v>5</v>
      </c>
      <c r="Q69" s="3">
        <v>2.5</v>
      </c>
      <c r="R69" s="39"/>
      <c r="S69" s="51">
        <v>2.5</v>
      </c>
    </row>
    <row r="70" spans="1:19" ht="15">
      <c r="A70" s="4" t="s">
        <v>292</v>
      </c>
      <c r="B70" s="4" t="s">
        <v>78</v>
      </c>
      <c r="C70" s="4" t="s">
        <v>22</v>
      </c>
      <c r="D70" s="4" t="s">
        <v>282</v>
      </c>
      <c r="E70" s="4" t="s">
        <v>288</v>
      </c>
      <c r="F70" s="4" t="s">
        <v>293</v>
      </c>
      <c r="G70" s="42">
        <v>15</v>
      </c>
      <c r="H70" s="34" t="s">
        <v>462</v>
      </c>
      <c r="I70" s="37">
        <v>15</v>
      </c>
      <c r="J70" s="4">
        <v>1</v>
      </c>
      <c r="K70" s="4">
        <v>0</v>
      </c>
      <c r="L70" s="4">
        <v>5000</v>
      </c>
      <c r="M70" s="46">
        <f>+P70/G70*1000</f>
        <v>333.33333333333331</v>
      </c>
      <c r="N70" s="4">
        <v>5</v>
      </c>
      <c r="O70" s="4">
        <v>0</v>
      </c>
      <c r="P70" s="36">
        <v>5</v>
      </c>
      <c r="Q70" s="3">
        <v>0</v>
      </c>
      <c r="R70" s="42"/>
      <c r="S70" s="51">
        <v>0</v>
      </c>
    </row>
    <row r="71" spans="1:19" ht="15">
      <c r="A71" s="4" t="s">
        <v>297</v>
      </c>
      <c r="B71" s="4" t="s">
        <v>78</v>
      </c>
      <c r="C71" s="4" t="s">
        <v>22</v>
      </c>
      <c r="D71" s="4" t="s">
        <v>282</v>
      </c>
      <c r="E71" s="4" t="s">
        <v>283</v>
      </c>
      <c r="F71" s="4" t="s">
        <v>298</v>
      </c>
      <c r="G71" s="42" t="s">
        <v>473</v>
      </c>
      <c r="H71" s="34" t="s">
        <v>465</v>
      </c>
      <c r="I71" s="4">
        <v>200</v>
      </c>
      <c r="J71" s="4">
        <v>1</v>
      </c>
      <c r="K71" s="4">
        <v>0</v>
      </c>
      <c r="L71" s="4">
        <v>5000</v>
      </c>
      <c r="M71" s="46">
        <f>+P71/2*1000</f>
        <v>2500</v>
      </c>
      <c r="N71" s="4">
        <v>5</v>
      </c>
      <c r="O71" s="4">
        <v>0</v>
      </c>
      <c r="P71" s="36">
        <v>5</v>
      </c>
      <c r="Q71" s="3">
        <v>0</v>
      </c>
      <c r="R71" s="42"/>
      <c r="S71" s="51">
        <v>0</v>
      </c>
    </row>
    <row r="72" spans="1:19" ht="15">
      <c r="A72" s="6" t="s">
        <v>443</v>
      </c>
      <c r="B72" s="4" t="s">
        <v>29</v>
      </c>
      <c r="C72" s="4" t="s">
        <v>22</v>
      </c>
      <c r="D72" s="4" t="s">
        <v>333</v>
      </c>
      <c r="E72" s="4" t="s">
        <v>333</v>
      </c>
      <c r="F72" s="4" t="s">
        <v>468</v>
      </c>
      <c r="G72" s="39" t="s">
        <v>475</v>
      </c>
      <c r="H72" s="41" t="s">
        <v>456</v>
      </c>
      <c r="I72" s="4" t="e">
        <f>+G72*J72</f>
        <v>#VALUE!</v>
      </c>
      <c r="J72" s="4">
        <v>12</v>
      </c>
      <c r="K72" s="4">
        <v>0</v>
      </c>
      <c r="L72" s="4">
        <v>0</v>
      </c>
      <c r="M72" s="46">
        <f>+P72/0.5*1000</f>
        <v>10000</v>
      </c>
      <c r="N72" s="4">
        <v>0</v>
      </c>
      <c r="O72" s="4">
        <v>5</v>
      </c>
      <c r="P72" s="36">
        <v>5</v>
      </c>
      <c r="Q72" s="3">
        <v>2</v>
      </c>
      <c r="R72" s="39"/>
      <c r="S72" s="51">
        <v>2</v>
      </c>
    </row>
    <row r="73" spans="1:19" ht="15">
      <c r="A73" s="6" t="s">
        <v>444</v>
      </c>
      <c r="B73" s="4" t="s">
        <v>29</v>
      </c>
      <c r="C73" s="4" t="s">
        <v>22</v>
      </c>
      <c r="D73" s="4" t="s">
        <v>228</v>
      </c>
      <c r="E73" s="4" t="s">
        <v>450</v>
      </c>
      <c r="F73" s="4" t="s">
        <v>451</v>
      </c>
      <c r="G73" s="42">
        <v>1</v>
      </c>
      <c r="H73" s="34" t="s">
        <v>464</v>
      </c>
      <c r="I73" s="4">
        <f>+G73*J73</f>
        <v>20</v>
      </c>
      <c r="J73" s="4">
        <v>20</v>
      </c>
      <c r="K73" s="4">
        <v>0</v>
      </c>
      <c r="L73" s="4">
        <v>0</v>
      </c>
      <c r="M73" s="46">
        <f>+P73/G73*1000</f>
        <v>5000</v>
      </c>
      <c r="N73" s="4">
        <v>0</v>
      </c>
      <c r="O73" s="4">
        <v>5</v>
      </c>
      <c r="P73" s="36">
        <v>5</v>
      </c>
      <c r="Q73" s="3">
        <v>2</v>
      </c>
      <c r="R73" s="42"/>
      <c r="S73" s="51">
        <v>2</v>
      </c>
    </row>
    <row r="74" spans="1:19" ht="15">
      <c r="A74" s="6" t="s">
        <v>445</v>
      </c>
      <c r="B74" s="4" t="s">
        <v>29</v>
      </c>
      <c r="C74" s="4" t="s">
        <v>22</v>
      </c>
      <c r="D74" s="4" t="s">
        <v>380</v>
      </c>
      <c r="E74" s="4" t="s">
        <v>381</v>
      </c>
      <c r="F74" s="4" t="s">
        <v>452</v>
      </c>
      <c r="G74" s="42">
        <v>1</v>
      </c>
      <c r="H74" s="34" t="s">
        <v>464</v>
      </c>
      <c r="I74" s="4">
        <f>+G74*J74</f>
        <v>20</v>
      </c>
      <c r="J74" s="4">
        <v>20</v>
      </c>
      <c r="K74" s="4">
        <v>0</v>
      </c>
      <c r="L74" s="4">
        <v>0</v>
      </c>
      <c r="M74" s="46">
        <f>+P74/G74*1000</f>
        <v>5000</v>
      </c>
      <c r="N74" s="4">
        <v>0</v>
      </c>
      <c r="O74" s="4">
        <v>5</v>
      </c>
      <c r="P74" s="36">
        <v>5</v>
      </c>
      <c r="Q74" s="3">
        <v>2</v>
      </c>
      <c r="R74" s="42"/>
      <c r="S74" s="51">
        <v>2</v>
      </c>
    </row>
    <row r="75" spans="1:19" ht="15">
      <c r="A75" s="6" t="s">
        <v>446</v>
      </c>
      <c r="B75" s="4" t="s">
        <v>29</v>
      </c>
      <c r="C75" s="4" t="s">
        <v>116</v>
      </c>
      <c r="D75" s="4" t="s">
        <v>228</v>
      </c>
      <c r="E75" s="4" t="s">
        <v>450</v>
      </c>
      <c r="F75" s="4" t="s">
        <v>469</v>
      </c>
      <c r="G75" s="41" t="s">
        <v>474</v>
      </c>
      <c r="H75" s="41" t="s">
        <v>456</v>
      </c>
      <c r="I75" s="4" t="e">
        <f>+G75*J75</f>
        <v>#VALUE!</v>
      </c>
      <c r="J75" s="4">
        <v>35</v>
      </c>
      <c r="K75" s="4">
        <v>0</v>
      </c>
      <c r="L75" s="4">
        <v>0</v>
      </c>
      <c r="M75" s="46">
        <f>+P75/0.2*1000</f>
        <v>25000</v>
      </c>
      <c r="N75" s="4">
        <v>0</v>
      </c>
      <c r="O75" s="4">
        <v>5</v>
      </c>
      <c r="P75" s="36">
        <v>5</v>
      </c>
      <c r="Q75" s="3">
        <v>2</v>
      </c>
      <c r="R75" s="65">
        <v>0</v>
      </c>
      <c r="S75" s="51">
        <v>2</v>
      </c>
    </row>
    <row r="76" spans="1:19" ht="15">
      <c r="A76" s="6" t="s">
        <v>447</v>
      </c>
      <c r="B76" s="4" t="s">
        <v>29</v>
      </c>
      <c r="C76" s="4" t="s">
        <v>116</v>
      </c>
      <c r="D76" s="4" t="s">
        <v>228</v>
      </c>
      <c r="E76" s="4" t="s">
        <v>450</v>
      </c>
      <c r="F76" s="4" t="s">
        <v>470</v>
      </c>
      <c r="G76" s="39" t="s">
        <v>475</v>
      </c>
      <c r="H76" s="41" t="s">
        <v>456</v>
      </c>
      <c r="I76" s="4" t="e">
        <f>+G76*J76</f>
        <v>#VALUE!</v>
      </c>
      <c r="J76" s="4">
        <v>24</v>
      </c>
      <c r="K76" s="4">
        <v>0</v>
      </c>
      <c r="L76" s="4">
        <v>0</v>
      </c>
      <c r="M76" s="46">
        <f>+P76/0.5*1000</f>
        <v>10000</v>
      </c>
      <c r="N76" s="4">
        <v>0</v>
      </c>
      <c r="O76" s="4">
        <v>5</v>
      </c>
      <c r="P76" s="36">
        <v>5</v>
      </c>
      <c r="Q76" s="3">
        <v>2.5</v>
      </c>
      <c r="R76" s="66">
        <v>0</v>
      </c>
      <c r="S76" s="51">
        <v>2.5</v>
      </c>
    </row>
    <row r="77" spans="1:19" ht="15">
      <c r="A77" s="6" t="s">
        <v>448</v>
      </c>
      <c r="B77" s="4" t="s">
        <v>29</v>
      </c>
      <c r="C77" s="4" t="s">
        <v>116</v>
      </c>
      <c r="D77" s="4" t="s">
        <v>380</v>
      </c>
      <c r="E77" s="4" t="s">
        <v>381</v>
      </c>
      <c r="F77" s="4" t="s">
        <v>471</v>
      </c>
      <c r="G77" s="41" t="s">
        <v>474</v>
      </c>
      <c r="H77" s="41" t="s">
        <v>456</v>
      </c>
      <c r="I77" s="4" t="e">
        <f>+G77*J77</f>
        <v>#VALUE!</v>
      </c>
      <c r="J77" s="4">
        <v>35</v>
      </c>
      <c r="K77" s="4">
        <v>0</v>
      </c>
      <c r="L77" s="4">
        <v>0</v>
      </c>
      <c r="M77" s="46">
        <f>+P77/0.2*1000</f>
        <v>25000</v>
      </c>
      <c r="N77" s="4">
        <v>0</v>
      </c>
      <c r="O77" s="4">
        <v>5</v>
      </c>
      <c r="P77" s="36">
        <v>5</v>
      </c>
      <c r="Q77" s="3">
        <v>2</v>
      </c>
      <c r="R77" s="65">
        <v>0</v>
      </c>
      <c r="S77" s="51">
        <v>2</v>
      </c>
    </row>
    <row r="78" spans="1:19" ht="15">
      <c r="A78" s="6" t="s">
        <v>449</v>
      </c>
      <c r="B78" s="4" t="s">
        <v>29</v>
      </c>
      <c r="C78" s="4" t="s">
        <v>22</v>
      </c>
      <c r="D78" s="4" t="s">
        <v>208</v>
      </c>
      <c r="E78" s="4" t="s">
        <v>209</v>
      </c>
      <c r="F78" s="4" t="s">
        <v>472</v>
      </c>
      <c r="G78" s="39" t="s">
        <v>475</v>
      </c>
      <c r="H78" s="41" t="s">
        <v>456</v>
      </c>
      <c r="I78" s="4" t="e">
        <f>+G78*J78</f>
        <v>#VALUE!</v>
      </c>
      <c r="J78" s="4">
        <v>24</v>
      </c>
      <c r="K78" s="4">
        <v>0</v>
      </c>
      <c r="L78" s="4">
        <v>0</v>
      </c>
      <c r="M78" s="46">
        <f>+P78/0.5*1000</f>
        <v>10000</v>
      </c>
      <c r="N78" s="4">
        <v>0</v>
      </c>
      <c r="O78" s="4">
        <v>5</v>
      </c>
      <c r="P78" s="36">
        <v>5</v>
      </c>
      <c r="Q78" s="3">
        <v>2.5</v>
      </c>
      <c r="R78" s="39"/>
      <c r="S78" s="51">
        <v>2.5</v>
      </c>
    </row>
    <row r="79" spans="1:19" ht="15">
      <c r="A79" s="4" t="s">
        <v>249</v>
      </c>
      <c r="B79" s="4" t="s">
        <v>64</v>
      </c>
      <c r="C79" s="4" t="s">
        <v>116</v>
      </c>
      <c r="D79" s="4" t="s">
        <v>228</v>
      </c>
      <c r="E79" s="4" t="s">
        <v>250</v>
      </c>
      <c r="F79" s="4" t="s">
        <v>251</v>
      </c>
      <c r="G79" s="42">
        <v>2</v>
      </c>
      <c r="H79" s="34" t="s">
        <v>456</v>
      </c>
      <c r="I79" s="35">
        <v>20</v>
      </c>
      <c r="J79" s="35">
        <v>10</v>
      </c>
      <c r="K79" s="4">
        <v>4000</v>
      </c>
      <c r="L79" s="4">
        <v>0</v>
      </c>
      <c r="M79" s="46">
        <f>+P79/G79*1000</f>
        <v>2000</v>
      </c>
      <c r="N79" s="4">
        <v>4</v>
      </c>
      <c r="O79" s="4">
        <v>0</v>
      </c>
      <c r="P79" s="36">
        <v>4</v>
      </c>
      <c r="Q79" s="3">
        <v>0</v>
      </c>
      <c r="R79" s="64">
        <v>0</v>
      </c>
      <c r="S79" s="51">
        <v>0</v>
      </c>
    </row>
    <row r="80" spans="1:19" ht="15">
      <c r="A80" s="4" t="s">
        <v>151</v>
      </c>
      <c r="B80" s="4" t="s">
        <v>29</v>
      </c>
      <c r="C80" s="4" t="s">
        <v>22</v>
      </c>
      <c r="D80" s="4" t="s">
        <v>134</v>
      </c>
      <c r="E80" s="4" t="s">
        <v>134</v>
      </c>
      <c r="F80" s="4" t="s">
        <v>152</v>
      </c>
      <c r="G80" s="42">
        <v>3</v>
      </c>
      <c r="H80" s="34" t="s">
        <v>462</v>
      </c>
      <c r="I80" s="35">
        <v>18</v>
      </c>
      <c r="J80" s="35">
        <v>6</v>
      </c>
      <c r="K80" s="4">
        <v>0</v>
      </c>
      <c r="L80" s="4">
        <v>0</v>
      </c>
      <c r="M80" s="46">
        <f>+P80/G80*1000</f>
        <v>1000</v>
      </c>
      <c r="N80" s="4">
        <v>0</v>
      </c>
      <c r="O80" s="4">
        <v>3</v>
      </c>
      <c r="P80" s="36">
        <v>3</v>
      </c>
      <c r="Q80" s="3">
        <v>1.2</v>
      </c>
      <c r="R80" s="42"/>
      <c r="S80" s="51">
        <v>1.2</v>
      </c>
    </row>
    <row r="81" spans="1:19" ht="15">
      <c r="A81" s="4" t="s">
        <v>176</v>
      </c>
      <c r="B81" s="4" t="s">
        <v>177</v>
      </c>
      <c r="C81" s="4" t="s">
        <v>22</v>
      </c>
      <c r="D81" s="4" t="s">
        <v>159</v>
      </c>
      <c r="E81" s="4" t="s">
        <v>178</v>
      </c>
      <c r="F81" s="40" t="s">
        <v>179</v>
      </c>
      <c r="G81" s="42">
        <v>1</v>
      </c>
      <c r="H81" s="34" t="s">
        <v>459</v>
      </c>
      <c r="I81" s="35">
        <v>16</v>
      </c>
      <c r="J81" s="35">
        <v>16</v>
      </c>
      <c r="K81" s="4">
        <v>0</v>
      </c>
      <c r="L81" s="4">
        <v>3000</v>
      </c>
      <c r="M81" s="46">
        <f>+P81/G81*1000</f>
        <v>3000</v>
      </c>
      <c r="N81" s="4">
        <v>3</v>
      </c>
      <c r="O81" s="4">
        <v>0</v>
      </c>
      <c r="P81" s="36">
        <v>3</v>
      </c>
      <c r="Q81" s="3">
        <v>0</v>
      </c>
      <c r="R81" s="42"/>
      <c r="S81" s="51">
        <v>0</v>
      </c>
    </row>
    <row r="82" spans="1:19" ht="15">
      <c r="A82" s="4" t="s">
        <v>255</v>
      </c>
      <c r="B82" s="4" t="s">
        <v>29</v>
      </c>
      <c r="C82" s="4" t="s">
        <v>116</v>
      </c>
      <c r="D82" s="4" t="s">
        <v>228</v>
      </c>
      <c r="E82" s="4" t="s">
        <v>131</v>
      </c>
      <c r="F82" s="4" t="s">
        <v>256</v>
      </c>
      <c r="G82" s="42">
        <v>3</v>
      </c>
      <c r="H82" s="34" t="s">
        <v>466</v>
      </c>
      <c r="I82" s="35">
        <v>18</v>
      </c>
      <c r="J82" s="35">
        <v>6</v>
      </c>
      <c r="K82" s="4">
        <v>3000</v>
      </c>
      <c r="L82" s="4">
        <v>0</v>
      </c>
      <c r="M82" s="46">
        <f>+P82/G82*1000</f>
        <v>1000</v>
      </c>
      <c r="N82" s="4">
        <v>3</v>
      </c>
      <c r="O82" s="4">
        <v>0</v>
      </c>
      <c r="P82" s="36">
        <v>3</v>
      </c>
      <c r="Q82" s="3">
        <v>0</v>
      </c>
      <c r="R82" s="64">
        <v>0</v>
      </c>
      <c r="S82" s="51">
        <v>0</v>
      </c>
    </row>
    <row r="83" spans="1:19" ht="15">
      <c r="A83" s="4" t="s">
        <v>180</v>
      </c>
      <c r="B83" s="4" t="s">
        <v>29</v>
      </c>
      <c r="C83" s="4" t="s">
        <v>22</v>
      </c>
      <c r="D83" s="4" t="s">
        <v>159</v>
      </c>
      <c r="E83" s="4" t="s">
        <v>159</v>
      </c>
      <c r="F83" s="4" t="s">
        <v>181</v>
      </c>
      <c r="G83" s="42">
        <v>2</v>
      </c>
      <c r="H83" s="34" t="s">
        <v>456</v>
      </c>
      <c r="I83" s="35">
        <v>20</v>
      </c>
      <c r="J83" s="35">
        <v>10</v>
      </c>
      <c r="K83" s="4">
        <v>0</v>
      </c>
      <c r="L83" s="4">
        <v>0</v>
      </c>
      <c r="M83" s="46">
        <f>+P83/G83*1000</f>
        <v>1000</v>
      </c>
      <c r="N83" s="4">
        <v>0</v>
      </c>
      <c r="O83" s="4">
        <v>2</v>
      </c>
      <c r="P83" s="36">
        <v>2</v>
      </c>
      <c r="Q83" s="3">
        <v>0.8</v>
      </c>
      <c r="R83" s="42"/>
      <c r="S83" s="51">
        <v>0.8</v>
      </c>
    </row>
    <row r="84" spans="1:19" ht="15">
      <c r="A84" s="4" t="s">
        <v>265</v>
      </c>
      <c r="B84" s="4" t="s">
        <v>78</v>
      </c>
      <c r="C84" s="4" t="s">
        <v>116</v>
      </c>
      <c r="D84" s="4" t="s">
        <v>228</v>
      </c>
      <c r="E84" s="4" t="s">
        <v>263</v>
      </c>
      <c r="F84" s="4" t="s">
        <v>266</v>
      </c>
      <c r="G84" s="42">
        <v>5</v>
      </c>
      <c r="H84" s="34" t="s">
        <v>461</v>
      </c>
      <c r="I84" s="35">
        <v>20</v>
      </c>
      <c r="J84" s="35">
        <v>4</v>
      </c>
      <c r="K84" s="4">
        <v>2000</v>
      </c>
      <c r="L84" s="4">
        <v>0</v>
      </c>
      <c r="M84" s="46">
        <f>+P84/G84*1000</f>
        <v>400</v>
      </c>
      <c r="N84" s="4">
        <v>2</v>
      </c>
      <c r="O84" s="4">
        <v>0</v>
      </c>
      <c r="P84" s="36">
        <v>2</v>
      </c>
      <c r="Q84" s="3">
        <v>0</v>
      </c>
      <c r="R84" s="64">
        <v>0</v>
      </c>
      <c r="S84" s="51">
        <v>0</v>
      </c>
    </row>
    <row r="85" spans="1:19" ht="15">
      <c r="A85" s="6" t="s">
        <v>415</v>
      </c>
      <c r="B85" s="4" t="s">
        <v>438</v>
      </c>
      <c r="C85" s="4" t="s">
        <v>22</v>
      </c>
      <c r="D85" s="4" t="s">
        <v>124</v>
      </c>
      <c r="E85" s="4" t="s">
        <v>159</v>
      </c>
      <c r="F85" s="4" t="s">
        <v>425</v>
      </c>
      <c r="G85" s="42">
        <v>1</v>
      </c>
      <c r="H85" s="34" t="s">
        <v>459</v>
      </c>
      <c r="I85" s="4">
        <f>+G85*J85</f>
        <v>16</v>
      </c>
      <c r="J85" s="4">
        <v>16</v>
      </c>
      <c r="K85" s="4">
        <v>0</v>
      </c>
      <c r="L85" s="4">
        <v>2000</v>
      </c>
      <c r="M85" s="46">
        <f>+P85/G85*1000</f>
        <v>2000</v>
      </c>
      <c r="N85" s="4">
        <v>2</v>
      </c>
      <c r="O85" s="4">
        <v>0</v>
      </c>
      <c r="P85" s="36">
        <v>2</v>
      </c>
      <c r="Q85" s="3"/>
      <c r="R85" s="70">
        <v>0.65279999999999994</v>
      </c>
      <c r="S85" s="71">
        <v>0.65279999999999994</v>
      </c>
    </row>
    <row r="86" spans="1:19" ht="15">
      <c r="A86" s="4" t="s">
        <v>133</v>
      </c>
      <c r="B86" s="4" t="s">
        <v>29</v>
      </c>
      <c r="C86" s="4" t="s">
        <v>22</v>
      </c>
      <c r="D86" s="4" t="s">
        <v>124</v>
      </c>
      <c r="E86" s="4" t="s">
        <v>134</v>
      </c>
      <c r="F86" s="4" t="s">
        <v>135</v>
      </c>
      <c r="G86" s="42">
        <v>1</v>
      </c>
      <c r="H86" s="34" t="s">
        <v>459</v>
      </c>
      <c r="I86" s="35">
        <v>1</v>
      </c>
      <c r="J86" s="35">
        <v>4</v>
      </c>
      <c r="K86" s="4">
        <v>0</v>
      </c>
      <c r="L86" s="4">
        <v>1000</v>
      </c>
      <c r="M86" s="46">
        <f>+P86/G86*1000</f>
        <v>1000</v>
      </c>
      <c r="N86" s="4">
        <v>1</v>
      </c>
      <c r="O86" s="4">
        <v>0</v>
      </c>
      <c r="P86" s="36">
        <v>1</v>
      </c>
      <c r="Q86" s="3"/>
      <c r="R86" s="70">
        <v>0.33119999999999999</v>
      </c>
      <c r="S86" s="71">
        <v>0.33119999999999999</v>
      </c>
    </row>
    <row r="87" spans="1:19" ht="15">
      <c r="A87" s="4" t="s">
        <v>136</v>
      </c>
      <c r="B87" s="4" t="s">
        <v>29</v>
      </c>
      <c r="C87" s="4" t="s">
        <v>22</v>
      </c>
      <c r="D87" s="4" t="s">
        <v>124</v>
      </c>
      <c r="E87" s="4" t="s">
        <v>134</v>
      </c>
      <c r="F87" s="4" t="s">
        <v>137</v>
      </c>
      <c r="G87" s="42">
        <v>1</v>
      </c>
      <c r="H87" s="34" t="s">
        <v>459</v>
      </c>
      <c r="I87" s="35">
        <v>1</v>
      </c>
      <c r="J87" s="35">
        <v>10</v>
      </c>
      <c r="K87" s="4">
        <v>0</v>
      </c>
      <c r="L87" s="4">
        <v>1000</v>
      </c>
      <c r="M87" s="46">
        <f>+P87/G87*1000</f>
        <v>1000</v>
      </c>
      <c r="N87" s="4">
        <v>1</v>
      </c>
      <c r="O87" s="4">
        <v>0</v>
      </c>
      <c r="P87" s="36">
        <v>1</v>
      </c>
      <c r="Q87" s="3"/>
      <c r="R87" s="70">
        <v>0.30360000000000004</v>
      </c>
      <c r="S87" s="71">
        <v>0.30360000000000004</v>
      </c>
    </row>
    <row r="88" spans="1:19" ht="15">
      <c r="A88" s="4" t="s">
        <v>335</v>
      </c>
      <c r="B88" s="4" t="s">
        <v>29</v>
      </c>
      <c r="C88" s="4" t="s">
        <v>22</v>
      </c>
      <c r="D88" s="4" t="s">
        <v>333</v>
      </c>
      <c r="E88" s="4" t="s">
        <v>333</v>
      </c>
      <c r="F88" s="4" t="s">
        <v>336</v>
      </c>
      <c r="G88" s="39" t="s">
        <v>475</v>
      </c>
      <c r="H88" s="41" t="s">
        <v>456</v>
      </c>
      <c r="I88" s="4" t="e">
        <f>G88*J88</f>
        <v>#VALUE!</v>
      </c>
      <c r="J88" s="4">
        <v>12</v>
      </c>
      <c r="K88" s="4">
        <v>0</v>
      </c>
      <c r="L88" s="4">
        <v>1000</v>
      </c>
      <c r="M88" s="46">
        <f>+P88/0.5*1000</f>
        <v>2000</v>
      </c>
      <c r="N88" s="4">
        <v>1</v>
      </c>
      <c r="O88" s="4">
        <v>0</v>
      </c>
      <c r="P88" s="36">
        <v>1</v>
      </c>
      <c r="Q88" s="3">
        <v>0</v>
      </c>
      <c r="R88" s="39"/>
      <c r="S88" s="51">
        <v>0</v>
      </c>
    </row>
    <row r="89" spans="1:19" ht="15">
      <c r="A89" s="6" t="s">
        <v>417</v>
      </c>
      <c r="B89" s="4" t="s">
        <v>438</v>
      </c>
      <c r="C89" s="4" t="s">
        <v>22</v>
      </c>
      <c r="D89" s="4" t="s">
        <v>124</v>
      </c>
      <c r="E89" s="4" t="s">
        <v>134</v>
      </c>
      <c r="F89" s="4" t="s">
        <v>427</v>
      </c>
      <c r="G89" s="42">
        <v>1</v>
      </c>
      <c r="H89" s="34" t="s">
        <v>459</v>
      </c>
      <c r="I89" s="4">
        <f>+G89*J89</f>
        <v>16</v>
      </c>
      <c r="J89" s="4">
        <v>16</v>
      </c>
      <c r="K89" s="4">
        <v>0</v>
      </c>
      <c r="L89" s="4">
        <v>1000</v>
      </c>
      <c r="M89" s="46">
        <f>+P89/G89*1000</f>
        <v>1000</v>
      </c>
      <c r="N89" s="4">
        <v>1</v>
      </c>
      <c r="O89" s="4">
        <v>0</v>
      </c>
      <c r="P89" s="36">
        <v>1</v>
      </c>
      <c r="Q89" s="3"/>
      <c r="R89" s="70">
        <v>0.8448</v>
      </c>
      <c r="S89" s="71">
        <v>0.8448</v>
      </c>
    </row>
    <row r="90" spans="1:19" ht="15">
      <c r="A90" s="6" t="s">
        <v>418</v>
      </c>
      <c r="B90" s="4" t="s">
        <v>438</v>
      </c>
      <c r="C90" s="4" t="s">
        <v>22</v>
      </c>
      <c r="D90" s="4" t="s">
        <v>124</v>
      </c>
      <c r="E90" s="4" t="s">
        <v>159</v>
      </c>
      <c r="F90" s="4" t="s">
        <v>428</v>
      </c>
      <c r="G90" s="42">
        <v>1</v>
      </c>
      <c r="H90" s="34" t="s">
        <v>459</v>
      </c>
      <c r="I90" s="4">
        <f>+G90*J90</f>
        <v>16</v>
      </c>
      <c r="J90" s="4">
        <v>16</v>
      </c>
      <c r="K90" s="4">
        <v>0</v>
      </c>
      <c r="L90" s="4">
        <v>1000</v>
      </c>
      <c r="M90" s="46">
        <f>+P90/G90*1000</f>
        <v>1000</v>
      </c>
      <c r="N90" s="4">
        <v>1</v>
      </c>
      <c r="O90" s="4">
        <v>0</v>
      </c>
      <c r="P90" s="36">
        <v>1</v>
      </c>
      <c r="Q90" s="3"/>
      <c r="R90" s="70">
        <v>0.63360000000000005</v>
      </c>
      <c r="S90" s="71">
        <v>0.63360000000000005</v>
      </c>
    </row>
    <row r="91" spans="1:19" ht="15">
      <c r="A91" s="6" t="s">
        <v>419</v>
      </c>
      <c r="B91" s="4" t="s">
        <v>29</v>
      </c>
      <c r="C91" s="4" t="s">
        <v>22</v>
      </c>
      <c r="D91" s="4" t="s">
        <v>282</v>
      </c>
      <c r="E91" s="4" t="s">
        <v>282</v>
      </c>
      <c r="F91" s="4" t="s">
        <v>429</v>
      </c>
      <c r="G91" s="42" t="s">
        <v>473</v>
      </c>
      <c r="H91" s="34" t="s">
        <v>465</v>
      </c>
      <c r="I91" s="4" t="e">
        <f>+G91*J91</f>
        <v>#VALUE!</v>
      </c>
      <c r="J91" s="4">
        <v>1</v>
      </c>
      <c r="K91" s="4">
        <v>0</v>
      </c>
      <c r="L91" s="4">
        <v>1000</v>
      </c>
      <c r="M91" s="46">
        <f>+P91/2*1000</f>
        <v>500</v>
      </c>
      <c r="N91" s="4">
        <v>1</v>
      </c>
      <c r="O91" s="4">
        <v>0</v>
      </c>
      <c r="P91" s="36">
        <v>1</v>
      </c>
      <c r="Q91" s="3">
        <v>0</v>
      </c>
      <c r="R91" s="42"/>
      <c r="S91" s="51">
        <v>0</v>
      </c>
    </row>
    <row r="92" spans="1:19" ht="15">
      <c r="A92" s="6" t="s">
        <v>421</v>
      </c>
      <c r="B92" s="4" t="s">
        <v>438</v>
      </c>
      <c r="C92" s="4" t="s">
        <v>22</v>
      </c>
      <c r="D92" s="4" t="s">
        <v>124</v>
      </c>
      <c r="E92" s="4" t="s">
        <v>159</v>
      </c>
      <c r="F92" s="4" t="s">
        <v>431</v>
      </c>
      <c r="G92" s="39" t="s">
        <v>475</v>
      </c>
      <c r="H92" s="34" t="s">
        <v>456</v>
      </c>
      <c r="I92" s="4" t="e">
        <f>+G92*J92</f>
        <v>#VALUE!</v>
      </c>
      <c r="J92" s="4">
        <v>20</v>
      </c>
      <c r="K92" s="4">
        <v>0</v>
      </c>
      <c r="L92" s="4">
        <v>1000</v>
      </c>
      <c r="M92" s="46">
        <f t="shared" ref="M92:M94" si="2">+P92/0.5*1000</f>
        <v>2000</v>
      </c>
      <c r="N92" s="4">
        <v>1</v>
      </c>
      <c r="O92" s="4">
        <v>0</v>
      </c>
      <c r="P92" s="36">
        <v>1</v>
      </c>
      <c r="Q92" s="3"/>
      <c r="R92" s="70">
        <v>0.41760000000000003</v>
      </c>
      <c r="S92" s="71">
        <v>0.41760000000000003</v>
      </c>
    </row>
    <row r="93" spans="1:19" ht="15">
      <c r="A93" s="4" t="s">
        <v>111</v>
      </c>
      <c r="B93" s="4" t="s">
        <v>29</v>
      </c>
      <c r="C93" s="4" t="s">
        <v>22</v>
      </c>
      <c r="D93" s="4" t="s">
        <v>108</v>
      </c>
      <c r="E93" s="4" t="s">
        <v>109</v>
      </c>
      <c r="F93" s="38" t="s">
        <v>112</v>
      </c>
      <c r="G93" s="39" t="s">
        <v>475</v>
      </c>
      <c r="H93" s="41" t="s">
        <v>456</v>
      </c>
      <c r="I93" s="37" t="e">
        <f>J93*G93</f>
        <v>#VALUE!</v>
      </c>
      <c r="J93" s="38">
        <v>24</v>
      </c>
      <c r="K93" s="4">
        <v>0</v>
      </c>
      <c r="L93" s="4">
        <v>500</v>
      </c>
      <c r="M93" s="46">
        <f t="shared" si="2"/>
        <v>1000</v>
      </c>
      <c r="N93" s="4">
        <v>0.5</v>
      </c>
      <c r="O93" s="4">
        <v>0</v>
      </c>
      <c r="P93" s="36">
        <v>0.5</v>
      </c>
      <c r="Q93" s="3">
        <v>0</v>
      </c>
      <c r="R93" s="39"/>
      <c r="S93" s="51">
        <v>0</v>
      </c>
    </row>
    <row r="94" spans="1:19" ht="15">
      <c r="A94" s="4" t="s">
        <v>153</v>
      </c>
      <c r="B94" s="4" t="s">
        <v>29</v>
      </c>
      <c r="C94" s="4" t="s">
        <v>22</v>
      </c>
      <c r="D94" s="4" t="s">
        <v>134</v>
      </c>
      <c r="E94" s="4" t="s">
        <v>143</v>
      </c>
      <c r="F94" s="38" t="s">
        <v>154</v>
      </c>
      <c r="G94" s="39" t="s">
        <v>475</v>
      </c>
      <c r="H94" s="41" t="s">
        <v>456</v>
      </c>
      <c r="I94" s="35" t="e">
        <f>J94*G94</f>
        <v>#VALUE!</v>
      </c>
      <c r="J94" s="38">
        <v>24</v>
      </c>
      <c r="K94" s="4">
        <v>0</v>
      </c>
      <c r="L94" s="4">
        <v>500</v>
      </c>
      <c r="M94" s="46">
        <f t="shared" si="2"/>
        <v>1000</v>
      </c>
      <c r="N94" s="4">
        <v>0.5</v>
      </c>
      <c r="O94" s="4">
        <v>0</v>
      </c>
      <c r="P94" s="36">
        <v>0.5</v>
      </c>
      <c r="Q94" s="3">
        <v>0</v>
      </c>
      <c r="R94" s="39"/>
      <c r="S94" s="51">
        <v>0</v>
      </c>
    </row>
    <row r="95" spans="1:19" ht="15">
      <c r="A95" s="4" t="s">
        <v>163</v>
      </c>
      <c r="B95" s="4" t="s">
        <v>29</v>
      </c>
      <c r="C95" s="4" t="s">
        <v>22</v>
      </c>
      <c r="D95" s="4" t="s">
        <v>159</v>
      </c>
      <c r="E95" s="4" t="s">
        <v>159</v>
      </c>
      <c r="F95" s="38" t="s">
        <v>164</v>
      </c>
      <c r="G95" s="41" t="s">
        <v>474</v>
      </c>
      <c r="H95" s="41" t="s">
        <v>456</v>
      </c>
      <c r="I95" s="37" t="e">
        <f>J95*G95</f>
        <v>#VALUE!</v>
      </c>
      <c r="J95" s="38">
        <v>4</v>
      </c>
      <c r="K95" s="4">
        <v>0</v>
      </c>
      <c r="L95" s="4">
        <v>500</v>
      </c>
      <c r="M95" s="46">
        <f>+P95/0.25*1000</f>
        <v>2000</v>
      </c>
      <c r="N95" s="4">
        <v>0.5</v>
      </c>
      <c r="O95" s="4">
        <v>0</v>
      </c>
      <c r="P95" s="36">
        <v>0.5</v>
      </c>
      <c r="Q95" s="3">
        <v>0</v>
      </c>
      <c r="R95" s="41"/>
      <c r="S95" s="51">
        <v>0</v>
      </c>
    </row>
    <row r="96" spans="1:19" ht="15">
      <c r="A96" s="4" t="s">
        <v>182</v>
      </c>
      <c r="B96" s="4" t="s">
        <v>29</v>
      </c>
      <c r="C96" s="4" t="s">
        <v>22</v>
      </c>
      <c r="D96" s="4" t="s">
        <v>159</v>
      </c>
      <c r="E96" s="4" t="s">
        <v>159</v>
      </c>
      <c r="F96" s="38" t="s">
        <v>183</v>
      </c>
      <c r="G96" s="39" t="s">
        <v>475</v>
      </c>
      <c r="H96" s="41" t="s">
        <v>456</v>
      </c>
      <c r="I96" s="35" t="e">
        <f>J96*G96</f>
        <v>#VALUE!</v>
      </c>
      <c r="J96" s="38">
        <v>12</v>
      </c>
      <c r="K96" s="4">
        <v>0</v>
      </c>
      <c r="L96" s="4">
        <v>500</v>
      </c>
      <c r="M96" s="46">
        <f>+P96/0.5*1000</f>
        <v>1000</v>
      </c>
      <c r="N96" s="4">
        <v>0.5</v>
      </c>
      <c r="O96" s="4">
        <v>0</v>
      </c>
      <c r="P96" s="36">
        <v>0.5</v>
      </c>
      <c r="Q96" s="3">
        <v>0</v>
      </c>
      <c r="R96" s="39"/>
      <c r="S96" s="51">
        <v>0</v>
      </c>
    </row>
    <row r="97" spans="1:19" ht="15">
      <c r="A97" s="6" t="s">
        <v>420</v>
      </c>
      <c r="B97" s="4" t="s">
        <v>438</v>
      </c>
      <c r="C97" s="4" t="s">
        <v>22</v>
      </c>
      <c r="D97" s="4" t="s">
        <v>124</v>
      </c>
      <c r="E97" s="4" t="s">
        <v>282</v>
      </c>
      <c r="F97" s="4" t="s">
        <v>430</v>
      </c>
      <c r="G97" s="42">
        <v>1</v>
      </c>
      <c r="H97" s="34" t="s">
        <v>459</v>
      </c>
      <c r="I97" s="4">
        <f>+G97*J97</f>
        <v>24</v>
      </c>
      <c r="J97" s="4">
        <v>24</v>
      </c>
      <c r="K97" s="4">
        <v>0</v>
      </c>
      <c r="L97" s="4">
        <v>500</v>
      </c>
      <c r="M97" s="46">
        <f>+P97/G97*1000</f>
        <v>500</v>
      </c>
      <c r="N97" s="4">
        <v>0.5</v>
      </c>
      <c r="O97" s="4">
        <v>0</v>
      </c>
      <c r="P97" s="36">
        <v>0.5</v>
      </c>
      <c r="Q97" s="3"/>
      <c r="R97" s="70">
        <v>0.2112</v>
      </c>
      <c r="S97" s="71">
        <v>0.2112</v>
      </c>
    </row>
    <row r="98" spans="1:19" ht="15">
      <c r="A98" s="6" t="s">
        <v>423</v>
      </c>
      <c r="B98" s="4" t="s">
        <v>29</v>
      </c>
      <c r="C98" s="4" t="s">
        <v>22</v>
      </c>
      <c r="D98" s="4" t="s">
        <v>108</v>
      </c>
      <c r="E98" s="4" t="s">
        <v>108</v>
      </c>
      <c r="F98" s="4" t="s">
        <v>433</v>
      </c>
      <c r="G98" s="41" t="s">
        <v>474</v>
      </c>
      <c r="H98" s="41" t="s">
        <v>456</v>
      </c>
      <c r="I98" s="4" t="e">
        <f>+G98*J98</f>
        <v>#VALUE!</v>
      </c>
      <c r="J98" s="4">
        <v>6</v>
      </c>
      <c r="K98" s="4">
        <v>0</v>
      </c>
      <c r="L98" s="4">
        <v>500</v>
      </c>
      <c r="M98" s="46">
        <f>+P98/0.2*1000</f>
        <v>2500</v>
      </c>
      <c r="N98" s="4">
        <v>0.5</v>
      </c>
      <c r="O98" s="4">
        <v>0</v>
      </c>
      <c r="P98" s="36">
        <v>0.5</v>
      </c>
      <c r="Q98" s="3">
        <v>0</v>
      </c>
      <c r="R98" s="41"/>
      <c r="S98" s="51">
        <v>0</v>
      </c>
    </row>
    <row r="99" spans="1:19" ht="17.100000000000001" customHeight="1">
      <c r="A99" s="6" t="s">
        <v>491</v>
      </c>
      <c r="B99" s="6" t="s">
        <v>29</v>
      </c>
      <c r="C99" s="6" t="s">
        <v>116</v>
      </c>
      <c r="D99" s="4" t="s">
        <v>124</v>
      </c>
      <c r="E99" s="6" t="s">
        <v>131</v>
      </c>
      <c r="F99" s="6" t="s">
        <v>492</v>
      </c>
      <c r="G99" s="3">
        <v>1</v>
      </c>
      <c r="H99" s="3"/>
      <c r="I99" s="3"/>
      <c r="J99" s="3"/>
      <c r="K99" s="67">
        <v>0</v>
      </c>
      <c r="L99" s="67">
        <v>0</v>
      </c>
      <c r="M99" s="3"/>
      <c r="N99" s="3"/>
      <c r="O99" s="3"/>
      <c r="P99" s="3"/>
      <c r="Q99" s="3"/>
      <c r="R99" s="70">
        <v>8.9039999999999999</v>
      </c>
      <c r="S99" s="71">
        <v>8.9039999999999999</v>
      </c>
    </row>
    <row r="100" spans="1:19" ht="17.100000000000001" customHeight="1">
      <c r="A100" s="68" t="s">
        <v>493</v>
      </c>
      <c r="B100" s="6" t="s">
        <v>29</v>
      </c>
      <c r="C100" s="6" t="s">
        <v>116</v>
      </c>
      <c r="D100" s="4" t="s">
        <v>124</v>
      </c>
      <c r="E100" s="6" t="s">
        <v>131</v>
      </c>
      <c r="F100" s="68" t="s">
        <v>494</v>
      </c>
      <c r="G100" s="69">
        <v>5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70">
        <v>7.56</v>
      </c>
      <c r="S100" s="71">
        <v>7.56</v>
      </c>
    </row>
    <row r="101" spans="1:19" ht="17.100000000000001" customHeight="1">
      <c r="A101" s="68" t="s">
        <v>130</v>
      </c>
      <c r="B101" s="6" t="s">
        <v>29</v>
      </c>
      <c r="C101" s="6" t="s">
        <v>116</v>
      </c>
      <c r="D101" s="4" t="s">
        <v>124</v>
      </c>
      <c r="E101" s="6" t="s">
        <v>131</v>
      </c>
      <c r="F101" s="68" t="s">
        <v>132</v>
      </c>
      <c r="G101" s="69">
        <v>0.1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70">
        <v>0.28799999999999998</v>
      </c>
      <c r="S101" s="71">
        <v>0.28799999999999998</v>
      </c>
    </row>
  </sheetData>
  <autoFilter ref="A2:W2" xr:uid="{CDDEAE67-FE48-435F-B230-87BC34A0B78B}"/>
  <conditionalFormatting sqref="A93">
    <cfRule type="expression" dxfId="3" priority="2">
      <formula>COUNTIF($A$93:$A$93,A93)&gt;1</formula>
    </cfRule>
  </conditionalFormatting>
  <conditionalFormatting sqref="B85:B88">
    <cfRule type="expression" dxfId="2" priority="3">
      <formula>COUNTIF($B$85:$B$88,B85)&gt;1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5C34-C760-4E95-8455-8BBEDEA9CC02}">
  <dimension ref="A1:U189"/>
  <sheetViews>
    <sheetView workbookViewId="0">
      <selection activeCell="D3" sqref="D3"/>
    </sheetView>
  </sheetViews>
  <sheetFormatPr defaultColWidth="9" defaultRowHeight="17.100000000000001" customHeight="1"/>
  <cols>
    <col min="1" max="1" width="11.42578125" bestFit="1" customWidth="1"/>
    <col min="2" max="2" width="11.85546875" bestFit="1" customWidth="1"/>
    <col min="3" max="3" width="16" bestFit="1" customWidth="1"/>
    <col min="4" max="4" width="17.42578125" bestFit="1" customWidth="1"/>
    <col min="5" max="5" width="22.85546875" bestFit="1" customWidth="1"/>
    <col min="6" max="6" width="67.28515625" bestFit="1" customWidth="1"/>
    <col min="7" max="7" width="13.28515625" bestFit="1" customWidth="1"/>
    <col min="8" max="8" width="14.140625" bestFit="1" customWidth="1"/>
    <col min="9" max="9" width="15.140625" bestFit="1" customWidth="1"/>
    <col min="10" max="10" width="29.5703125" bestFit="1" customWidth="1"/>
    <col min="11" max="11" width="19.28515625" bestFit="1" customWidth="1"/>
    <col min="12" max="12" width="20" bestFit="1" customWidth="1"/>
    <col min="13" max="13" width="19.7109375" bestFit="1" customWidth="1"/>
    <col min="14" max="14" width="19.5703125" bestFit="1" customWidth="1"/>
    <col min="15" max="15" width="29.5703125" bestFit="1" customWidth="1"/>
    <col min="16" max="16" width="19.28515625" bestFit="1" customWidth="1"/>
    <col min="17" max="17" width="20" bestFit="1" customWidth="1"/>
    <col min="18" max="18" width="19.7109375" bestFit="1" customWidth="1"/>
    <col min="19" max="19" width="19.5703125" bestFit="1" customWidth="1"/>
    <col min="20" max="20" width="19" bestFit="1" customWidth="1"/>
    <col min="21" max="21" width="13.7109375" bestFit="1" customWidth="1"/>
  </cols>
  <sheetData>
    <row r="1" spans="1:21" s="25" customFormat="1" ht="15.75">
      <c r="A1" s="23"/>
      <c r="B1" s="23"/>
      <c r="C1" s="23"/>
      <c r="D1" s="23"/>
      <c r="E1" s="23" t="s">
        <v>0</v>
      </c>
      <c r="F1" s="23" t="s">
        <v>436</v>
      </c>
      <c r="G1" s="23"/>
      <c r="H1" s="23"/>
      <c r="I1" s="23"/>
      <c r="J1" s="24" t="s">
        <v>408</v>
      </c>
      <c r="K1" s="24" t="s">
        <v>408</v>
      </c>
      <c r="L1" s="24" t="s">
        <v>408</v>
      </c>
      <c r="M1" s="24" t="s">
        <v>408</v>
      </c>
      <c r="N1" s="24" t="s">
        <v>408</v>
      </c>
      <c r="O1" s="26" t="s">
        <v>409</v>
      </c>
      <c r="P1" s="26" t="s">
        <v>409</v>
      </c>
      <c r="Q1" s="26" t="s">
        <v>409</v>
      </c>
      <c r="R1" s="26" t="s">
        <v>409</v>
      </c>
      <c r="S1" s="26" t="s">
        <v>409</v>
      </c>
      <c r="T1" s="26" t="s">
        <v>440</v>
      </c>
    </row>
    <row r="2" spans="1:21" s="25" customFormat="1" ht="15.75">
      <c r="A2" s="23"/>
      <c r="B2" s="23"/>
      <c r="C2" s="23"/>
      <c r="D2" s="23"/>
      <c r="E2" s="23"/>
      <c r="F2" s="23"/>
      <c r="G2" s="23"/>
      <c r="H2" s="23"/>
      <c r="I2" s="27"/>
      <c r="J2" s="24">
        <f t="shared" ref="J2:U2" si="0">SUBTOTAL(9,J4:J1048576)</f>
        <v>1232500</v>
      </c>
      <c r="K2" s="24">
        <f t="shared" si="0"/>
        <v>308125</v>
      </c>
      <c r="L2" s="24">
        <f t="shared" si="0"/>
        <v>308125</v>
      </c>
      <c r="M2" s="24">
        <f t="shared" si="0"/>
        <v>308125</v>
      </c>
      <c r="N2" s="24">
        <f t="shared" si="0"/>
        <v>308125</v>
      </c>
      <c r="O2" s="24">
        <f t="shared" si="0"/>
        <v>799400</v>
      </c>
      <c r="P2" s="24">
        <f t="shared" si="0"/>
        <v>218975</v>
      </c>
      <c r="Q2" s="24">
        <f t="shared" si="0"/>
        <v>193475</v>
      </c>
      <c r="R2" s="24">
        <f t="shared" si="0"/>
        <v>193475</v>
      </c>
      <c r="S2" s="24">
        <f t="shared" si="0"/>
        <v>193475</v>
      </c>
      <c r="T2" s="24">
        <f t="shared" si="0"/>
        <v>2358000</v>
      </c>
      <c r="U2" s="24">
        <f t="shared" si="0"/>
        <v>4389900</v>
      </c>
    </row>
    <row r="3" spans="1:21" ht="30.9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437</v>
      </c>
      <c r="L3" s="7" t="s">
        <v>11</v>
      </c>
      <c r="M3" s="7" t="s">
        <v>12</v>
      </c>
      <c r="N3" s="7" t="s">
        <v>13</v>
      </c>
      <c r="O3" s="7" t="s">
        <v>10</v>
      </c>
      <c r="P3" s="7" t="s">
        <v>437</v>
      </c>
      <c r="Q3" s="7" t="s">
        <v>11</v>
      </c>
      <c r="R3" s="7" t="s">
        <v>12</v>
      </c>
      <c r="S3" s="7" t="s">
        <v>13</v>
      </c>
      <c r="T3" s="7" t="s">
        <v>440</v>
      </c>
      <c r="U3" s="7" t="s">
        <v>455</v>
      </c>
    </row>
    <row r="4" spans="1:21" ht="15">
      <c r="A4" s="4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9">
        <v>1</v>
      </c>
      <c r="H4" s="9">
        <v>16</v>
      </c>
      <c r="I4" s="9">
        <v>16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f>IFERROR(VLOOKUP(A4,[1]OIL!$A$2:$N$51,14,),0)</f>
        <v>15000</v>
      </c>
      <c r="U4" s="3">
        <f>+T4+O4+J4</f>
        <v>15000</v>
      </c>
    </row>
    <row r="5" spans="1:21" ht="15">
      <c r="A5" s="4" t="s">
        <v>20</v>
      </c>
      <c r="B5" s="8" t="s">
        <v>21</v>
      </c>
      <c r="C5" s="8" t="s">
        <v>22</v>
      </c>
      <c r="D5" s="8" t="s">
        <v>17</v>
      </c>
      <c r="E5" s="8" t="s">
        <v>21</v>
      </c>
      <c r="F5" s="8" t="s">
        <v>23</v>
      </c>
      <c r="G5" s="9">
        <v>5</v>
      </c>
      <c r="H5" s="9">
        <v>20</v>
      </c>
      <c r="I5" s="9">
        <v>4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f>IFERROR(VLOOKUP(A5,[1]OIL!$A$2:$N$51,14,),0)</f>
        <v>0</v>
      </c>
      <c r="U5" s="3">
        <f t="shared" ref="U5:U68" si="1">+T5+O5+J5</f>
        <v>0</v>
      </c>
    </row>
    <row r="6" spans="1:21" ht="15">
      <c r="A6" s="4" t="s">
        <v>24</v>
      </c>
      <c r="B6" s="8" t="s">
        <v>21</v>
      </c>
      <c r="C6" s="8" t="s">
        <v>22</v>
      </c>
      <c r="D6" s="8" t="s">
        <v>17</v>
      </c>
      <c r="E6" s="8" t="s">
        <v>21</v>
      </c>
      <c r="F6" s="8" t="s">
        <v>25</v>
      </c>
      <c r="G6" s="9">
        <v>1</v>
      </c>
      <c r="H6" s="9">
        <v>16</v>
      </c>
      <c r="I6" s="9">
        <v>16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f>IFERROR(VLOOKUP(A6,[1]OIL!$A$2:$N$51,14,),0)</f>
        <v>0</v>
      </c>
      <c r="U6" s="3">
        <f t="shared" si="1"/>
        <v>0</v>
      </c>
    </row>
    <row r="7" spans="1:21" ht="15">
      <c r="A7" s="4" t="s">
        <v>26</v>
      </c>
      <c r="B7" s="8" t="s">
        <v>15</v>
      </c>
      <c r="C7" s="8" t="s">
        <v>16</v>
      </c>
      <c r="D7" s="8" t="s">
        <v>17</v>
      </c>
      <c r="E7" s="8" t="s">
        <v>18</v>
      </c>
      <c r="F7" s="10" t="s">
        <v>27</v>
      </c>
      <c r="G7" s="9">
        <v>5</v>
      </c>
      <c r="H7" s="9">
        <v>20</v>
      </c>
      <c r="I7" s="9">
        <v>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f>IFERROR(VLOOKUP(A7,[1]OIL!$A$2:$N$51,14,),0)</f>
        <v>0</v>
      </c>
      <c r="U7" s="3">
        <f t="shared" si="1"/>
        <v>0</v>
      </c>
    </row>
    <row r="8" spans="1:21" ht="15">
      <c r="A8" s="4" t="s">
        <v>28</v>
      </c>
      <c r="B8" s="8" t="s">
        <v>29</v>
      </c>
      <c r="C8" s="8" t="s">
        <v>22</v>
      </c>
      <c r="D8" s="8" t="s">
        <v>30</v>
      </c>
      <c r="E8" s="8" t="s">
        <v>31</v>
      </c>
      <c r="F8" s="8" t="s">
        <v>32</v>
      </c>
      <c r="G8" s="9">
        <v>5</v>
      </c>
      <c r="H8" s="9">
        <v>20</v>
      </c>
      <c r="I8" s="9">
        <v>4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5">
        <v>150000</v>
      </c>
      <c r="P8" s="5">
        <v>37500</v>
      </c>
      <c r="Q8" s="5">
        <v>37500</v>
      </c>
      <c r="R8" s="5">
        <v>37500</v>
      </c>
      <c r="S8" s="5">
        <v>37500</v>
      </c>
      <c r="T8" s="5">
        <f>IFERROR(VLOOKUP(A8,[1]OIL!$A$2:$N$51,14,),0)</f>
        <v>75000</v>
      </c>
      <c r="U8" s="3">
        <f t="shared" si="1"/>
        <v>225000</v>
      </c>
    </row>
    <row r="9" spans="1:21" s="1" customFormat="1" ht="15">
      <c r="A9" s="8" t="s">
        <v>33</v>
      </c>
      <c r="B9" s="8" t="s">
        <v>29</v>
      </c>
      <c r="C9" s="8" t="s">
        <v>22</v>
      </c>
      <c r="D9" s="8" t="s">
        <v>30</v>
      </c>
      <c r="E9" s="8" t="s">
        <v>31</v>
      </c>
      <c r="F9" s="8" t="s">
        <v>34</v>
      </c>
      <c r="G9" s="9">
        <v>1</v>
      </c>
      <c r="H9" s="9">
        <v>20</v>
      </c>
      <c r="I9" s="9">
        <v>20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5">
        <v>60000</v>
      </c>
      <c r="P9" s="8">
        <v>15000</v>
      </c>
      <c r="Q9" s="8">
        <v>15000</v>
      </c>
      <c r="R9" s="8">
        <v>15000</v>
      </c>
      <c r="S9" s="8">
        <v>15000</v>
      </c>
      <c r="T9" s="5">
        <f>IFERROR(VLOOKUP(A9,[1]OIL!$A$2:$N$51,14,),0)</f>
        <v>0</v>
      </c>
      <c r="U9" s="3">
        <f t="shared" si="1"/>
        <v>60000</v>
      </c>
    </row>
    <row r="10" spans="1:21" s="1" customFormat="1" ht="15">
      <c r="A10" s="8" t="s">
        <v>35</v>
      </c>
      <c r="B10" s="8" t="s">
        <v>29</v>
      </c>
      <c r="C10" s="8" t="s">
        <v>22</v>
      </c>
      <c r="D10" s="8" t="s">
        <v>30</v>
      </c>
      <c r="E10" s="8" t="s">
        <v>31</v>
      </c>
      <c r="F10" s="8" t="s">
        <v>36</v>
      </c>
      <c r="G10" s="9">
        <v>1</v>
      </c>
      <c r="H10" s="9">
        <v>20</v>
      </c>
      <c r="I10" s="9">
        <v>20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5">
        <v>25000</v>
      </c>
      <c r="P10" s="8">
        <v>6250</v>
      </c>
      <c r="Q10" s="8">
        <v>6250</v>
      </c>
      <c r="R10" s="8">
        <v>6250</v>
      </c>
      <c r="S10" s="8">
        <v>6250</v>
      </c>
      <c r="T10" s="5">
        <f>IFERROR(VLOOKUP(A10,[1]OIL!$A$2:$N$51,14,),0)</f>
        <v>75000</v>
      </c>
      <c r="U10" s="3">
        <f t="shared" si="1"/>
        <v>100000</v>
      </c>
    </row>
    <row r="11" spans="1:21" s="1" customFormat="1" ht="15">
      <c r="A11" s="8" t="s">
        <v>37</v>
      </c>
      <c r="B11" s="8" t="s">
        <v>29</v>
      </c>
      <c r="C11" s="8" t="s">
        <v>22</v>
      </c>
      <c r="D11" s="8" t="s">
        <v>30</v>
      </c>
      <c r="E11" s="8" t="s">
        <v>31</v>
      </c>
      <c r="F11" s="8" t="s">
        <v>38</v>
      </c>
      <c r="G11" s="9">
        <v>2</v>
      </c>
      <c r="H11" s="9">
        <v>20</v>
      </c>
      <c r="I11" s="9">
        <v>10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5">
        <v>0</v>
      </c>
      <c r="P11" s="8">
        <v>0</v>
      </c>
      <c r="Q11" s="8">
        <v>0</v>
      </c>
      <c r="R11" s="8">
        <v>0</v>
      </c>
      <c r="S11" s="8">
        <v>0</v>
      </c>
      <c r="T11" s="5">
        <f>IFERROR(VLOOKUP(A11,[1]OIL!$A$2:$N$51,14,),0)</f>
        <v>0</v>
      </c>
      <c r="U11" s="3">
        <f t="shared" si="1"/>
        <v>0</v>
      </c>
    </row>
    <row r="12" spans="1:21" s="1" customFormat="1" ht="15">
      <c r="A12" s="8" t="s">
        <v>39</v>
      </c>
      <c r="B12" s="8" t="s">
        <v>29</v>
      </c>
      <c r="C12" s="8" t="s">
        <v>22</v>
      </c>
      <c r="D12" s="8" t="s">
        <v>30</v>
      </c>
      <c r="E12" s="8" t="s">
        <v>31</v>
      </c>
      <c r="F12" s="8" t="s">
        <v>40</v>
      </c>
      <c r="G12" s="9">
        <v>2</v>
      </c>
      <c r="H12" s="9">
        <v>20</v>
      </c>
      <c r="I12" s="9">
        <v>10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5">
        <v>30000</v>
      </c>
      <c r="P12" s="8">
        <v>7500</v>
      </c>
      <c r="Q12" s="8">
        <v>7500</v>
      </c>
      <c r="R12" s="8">
        <v>7500</v>
      </c>
      <c r="S12" s="8">
        <v>7500</v>
      </c>
      <c r="T12" s="5">
        <f>IFERROR(VLOOKUP(A12,[1]OIL!$A$2:$N$51,14,),0)</f>
        <v>0</v>
      </c>
      <c r="U12" s="3">
        <f t="shared" si="1"/>
        <v>30000</v>
      </c>
    </row>
    <row r="13" spans="1:21" s="1" customFormat="1" ht="15">
      <c r="A13" s="8" t="s">
        <v>41</v>
      </c>
      <c r="B13" s="8" t="s">
        <v>29</v>
      </c>
      <c r="C13" s="8" t="s">
        <v>22</v>
      </c>
      <c r="D13" s="8" t="s">
        <v>30</v>
      </c>
      <c r="E13" s="8" t="s">
        <v>31</v>
      </c>
      <c r="F13" s="8" t="s">
        <v>42</v>
      </c>
      <c r="G13" s="9">
        <v>4</v>
      </c>
      <c r="H13" s="9">
        <v>20</v>
      </c>
      <c r="I13" s="9">
        <v>5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5">
        <v>0</v>
      </c>
      <c r="P13" s="8">
        <v>0</v>
      </c>
      <c r="Q13" s="8">
        <v>0</v>
      </c>
      <c r="R13" s="8">
        <v>0</v>
      </c>
      <c r="S13" s="8">
        <v>0</v>
      </c>
      <c r="T13" s="5">
        <f>IFERROR(VLOOKUP(A13,[1]OIL!$A$2:$N$51,14,),0)</f>
        <v>0</v>
      </c>
      <c r="U13" s="3">
        <f t="shared" si="1"/>
        <v>0</v>
      </c>
    </row>
    <row r="14" spans="1:21" s="1" customFormat="1" ht="15">
      <c r="A14" s="8" t="s">
        <v>43</v>
      </c>
      <c r="B14" s="8" t="s">
        <v>29</v>
      </c>
      <c r="C14" s="8" t="s">
        <v>22</v>
      </c>
      <c r="D14" s="8" t="s">
        <v>30</v>
      </c>
      <c r="E14" s="8" t="s">
        <v>31</v>
      </c>
      <c r="F14" s="8" t="s">
        <v>44</v>
      </c>
      <c r="G14" s="9">
        <v>6</v>
      </c>
      <c r="H14" s="9">
        <v>18</v>
      </c>
      <c r="I14" s="9">
        <v>3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5">
        <v>0</v>
      </c>
      <c r="P14" s="8">
        <v>0</v>
      </c>
      <c r="Q14" s="8">
        <v>0</v>
      </c>
      <c r="R14" s="8">
        <v>0</v>
      </c>
      <c r="S14" s="8">
        <v>0</v>
      </c>
      <c r="T14" s="5">
        <f>IFERROR(VLOOKUP(A14,[1]OIL!$A$2:$N$51,14,),0)</f>
        <v>0</v>
      </c>
      <c r="U14" s="3">
        <f t="shared" si="1"/>
        <v>0</v>
      </c>
    </row>
    <row r="15" spans="1:21" s="1" customFormat="1" ht="15">
      <c r="A15" s="8" t="s">
        <v>45</v>
      </c>
      <c r="B15" s="8" t="s">
        <v>29</v>
      </c>
      <c r="C15" s="8" t="s">
        <v>22</v>
      </c>
      <c r="D15" s="8" t="s">
        <v>30</v>
      </c>
      <c r="E15" s="8" t="s">
        <v>31</v>
      </c>
      <c r="F15" s="8" t="s">
        <v>46</v>
      </c>
      <c r="G15" s="9">
        <v>4</v>
      </c>
      <c r="H15" s="9">
        <v>20</v>
      </c>
      <c r="I15" s="9">
        <v>5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5">
        <v>0</v>
      </c>
      <c r="P15" s="8">
        <v>0</v>
      </c>
      <c r="Q15" s="8">
        <v>0</v>
      </c>
      <c r="R15" s="8">
        <v>0</v>
      </c>
      <c r="S15" s="8">
        <v>0</v>
      </c>
      <c r="T15" s="5">
        <f>IFERROR(VLOOKUP(A15,[1]OIL!$A$2:$N$51,14,),0)</f>
        <v>0</v>
      </c>
      <c r="U15" s="3">
        <f t="shared" si="1"/>
        <v>0</v>
      </c>
    </row>
    <row r="16" spans="1:21" s="1" customFormat="1" ht="15">
      <c r="A16" s="2" t="s">
        <v>410</v>
      </c>
      <c r="B16" s="8" t="s">
        <v>29</v>
      </c>
      <c r="C16" s="8" t="s">
        <v>22</v>
      </c>
      <c r="D16" s="8" t="s">
        <v>30</v>
      </c>
      <c r="E16" s="8" t="s">
        <v>31</v>
      </c>
      <c r="F16" s="2" t="s">
        <v>411</v>
      </c>
      <c r="G16" s="9">
        <v>3</v>
      </c>
      <c r="H16" s="9">
        <v>18</v>
      </c>
      <c r="I16" s="9">
        <v>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5">
        <v>20000</v>
      </c>
      <c r="P16" s="8">
        <v>5000</v>
      </c>
      <c r="Q16" s="8">
        <v>5000</v>
      </c>
      <c r="R16" s="8">
        <v>5000</v>
      </c>
      <c r="S16" s="8">
        <v>5000</v>
      </c>
      <c r="T16" s="5">
        <f>IFERROR(VLOOKUP(A16,[1]OIL!$A$2:$N$51,14,),0)</f>
        <v>0</v>
      </c>
      <c r="U16" s="3">
        <f t="shared" si="1"/>
        <v>20000</v>
      </c>
    </row>
    <row r="17" spans="1:21" s="1" customFormat="1" ht="15">
      <c r="A17" s="8" t="s">
        <v>47</v>
      </c>
      <c r="B17" s="8" t="s">
        <v>29</v>
      </c>
      <c r="C17" s="8" t="s">
        <v>22</v>
      </c>
      <c r="D17" s="8" t="s">
        <v>30</v>
      </c>
      <c r="E17" s="8" t="s">
        <v>31</v>
      </c>
      <c r="F17" s="8" t="s">
        <v>48</v>
      </c>
      <c r="G17" s="11">
        <v>15</v>
      </c>
      <c r="H17" s="9">
        <f>G17</f>
        <v>15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5">
        <v>60000</v>
      </c>
      <c r="P17" s="8">
        <v>15000</v>
      </c>
      <c r="Q17" s="8">
        <v>15000</v>
      </c>
      <c r="R17" s="8">
        <v>15000</v>
      </c>
      <c r="S17" s="8">
        <v>15000</v>
      </c>
      <c r="T17" s="5">
        <f>IFERROR(VLOOKUP(A17,[1]OIL!$A$2:$N$51,14,),0)</f>
        <v>0</v>
      </c>
      <c r="U17" s="3">
        <f t="shared" si="1"/>
        <v>60000</v>
      </c>
    </row>
    <row r="18" spans="1:21" s="1" customFormat="1" ht="15">
      <c r="A18" s="8" t="s">
        <v>49</v>
      </c>
      <c r="B18" s="8" t="s">
        <v>29</v>
      </c>
      <c r="C18" s="8" t="s">
        <v>22</v>
      </c>
      <c r="D18" s="8" t="s">
        <v>30</v>
      </c>
      <c r="E18" s="8" t="s">
        <v>31</v>
      </c>
      <c r="F18" s="8" t="s">
        <v>50</v>
      </c>
      <c r="G18" s="9">
        <v>5</v>
      </c>
      <c r="H18" s="9">
        <v>20</v>
      </c>
      <c r="I18" s="9">
        <v>4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5">
        <v>0</v>
      </c>
      <c r="P18" s="8">
        <v>0</v>
      </c>
      <c r="Q18" s="8">
        <v>0</v>
      </c>
      <c r="R18" s="8">
        <v>0</v>
      </c>
      <c r="S18" s="8">
        <v>0</v>
      </c>
      <c r="T18" s="5">
        <f>IFERROR(VLOOKUP(A18,[1]OIL!$A$2:$N$51,14,),0)</f>
        <v>0</v>
      </c>
      <c r="U18" s="3">
        <f t="shared" si="1"/>
        <v>0</v>
      </c>
    </row>
    <row r="19" spans="1:21" s="1" customFormat="1" ht="15">
      <c r="A19" s="8" t="s">
        <v>51</v>
      </c>
      <c r="B19" s="8" t="s">
        <v>29</v>
      </c>
      <c r="C19" s="8" t="s">
        <v>22</v>
      </c>
      <c r="D19" s="8" t="s">
        <v>30</v>
      </c>
      <c r="E19" s="8" t="s">
        <v>31</v>
      </c>
      <c r="F19" s="8" t="s">
        <v>52</v>
      </c>
      <c r="G19" s="9">
        <v>5</v>
      </c>
      <c r="H19" s="9">
        <v>20</v>
      </c>
      <c r="I19" s="9">
        <v>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5">
        <v>0</v>
      </c>
      <c r="P19" s="8">
        <v>0</v>
      </c>
      <c r="Q19" s="8">
        <v>0</v>
      </c>
      <c r="R19" s="8">
        <v>0</v>
      </c>
      <c r="S19" s="8">
        <v>0</v>
      </c>
      <c r="T19" s="5">
        <f>IFERROR(VLOOKUP(A19,[1]OIL!$A$2:$N$51,14,),0)</f>
        <v>0</v>
      </c>
      <c r="U19" s="3">
        <f t="shared" si="1"/>
        <v>0</v>
      </c>
    </row>
    <row r="20" spans="1:21" s="1" customFormat="1" ht="15">
      <c r="A20" s="8" t="s">
        <v>53</v>
      </c>
      <c r="B20" s="8" t="s">
        <v>29</v>
      </c>
      <c r="C20" s="8" t="s">
        <v>22</v>
      </c>
      <c r="D20" s="8" t="s">
        <v>30</v>
      </c>
      <c r="E20" s="8" t="s">
        <v>31</v>
      </c>
      <c r="F20" s="8" t="s">
        <v>54</v>
      </c>
      <c r="G20" s="9">
        <v>5</v>
      </c>
      <c r="H20" s="9">
        <v>20</v>
      </c>
      <c r="I20" s="9">
        <v>4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5">
        <v>0</v>
      </c>
      <c r="P20" s="8">
        <v>0</v>
      </c>
      <c r="Q20" s="8">
        <v>0</v>
      </c>
      <c r="R20" s="8">
        <v>0</v>
      </c>
      <c r="S20" s="8">
        <v>0</v>
      </c>
      <c r="T20" s="5">
        <f>IFERROR(VLOOKUP(A20,[1]OIL!$A$2:$N$51,14,),0)</f>
        <v>0</v>
      </c>
      <c r="U20" s="3">
        <f t="shared" si="1"/>
        <v>0</v>
      </c>
    </row>
    <row r="21" spans="1:21" s="1" customFormat="1" ht="15">
      <c r="A21" s="8" t="s">
        <v>55</v>
      </c>
      <c r="B21" s="8" t="s">
        <v>29</v>
      </c>
      <c r="C21" s="8" t="s">
        <v>22</v>
      </c>
      <c r="D21" s="8" t="s">
        <v>30</v>
      </c>
      <c r="E21" s="8" t="s">
        <v>31</v>
      </c>
      <c r="F21" s="8" t="s">
        <v>56</v>
      </c>
      <c r="G21" s="9">
        <v>6</v>
      </c>
      <c r="H21" s="9">
        <v>18</v>
      </c>
      <c r="I21" s="9">
        <v>3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5">
        <v>0</v>
      </c>
      <c r="P21" s="8">
        <v>0</v>
      </c>
      <c r="Q21" s="8">
        <v>0</v>
      </c>
      <c r="R21" s="8">
        <v>0</v>
      </c>
      <c r="S21" s="8">
        <v>0</v>
      </c>
      <c r="T21" s="5">
        <f>IFERROR(VLOOKUP(A21,[1]OIL!$A$2:$N$51,14,),0)</f>
        <v>0</v>
      </c>
      <c r="U21" s="3">
        <f t="shared" si="1"/>
        <v>0</v>
      </c>
    </row>
    <row r="22" spans="1:21" s="1" customFormat="1" ht="15">
      <c r="A22" s="8" t="s">
        <v>57</v>
      </c>
      <c r="B22" s="8" t="s">
        <v>29</v>
      </c>
      <c r="C22" s="8" t="s">
        <v>22</v>
      </c>
      <c r="D22" s="8" t="s">
        <v>30</v>
      </c>
      <c r="E22" s="8" t="s">
        <v>31</v>
      </c>
      <c r="F22" s="8" t="s">
        <v>58</v>
      </c>
      <c r="G22" s="9">
        <v>1</v>
      </c>
      <c r="H22" s="9">
        <v>12</v>
      </c>
      <c r="I22" s="9">
        <v>12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5">
        <v>2400</v>
      </c>
      <c r="P22" s="8">
        <v>600</v>
      </c>
      <c r="Q22" s="8">
        <v>600</v>
      </c>
      <c r="R22" s="8">
        <v>600</v>
      </c>
      <c r="S22" s="8">
        <v>600</v>
      </c>
      <c r="T22" s="5">
        <f>IFERROR(VLOOKUP(A22,[1]OIL!$A$2:$N$51,14,),0)</f>
        <v>8000</v>
      </c>
      <c r="U22" s="3">
        <f t="shared" si="1"/>
        <v>10400</v>
      </c>
    </row>
    <row r="23" spans="1:21" s="1" customFormat="1" ht="15">
      <c r="A23" s="8" t="s">
        <v>59</v>
      </c>
      <c r="B23" s="8" t="s">
        <v>29</v>
      </c>
      <c r="C23" s="8" t="s">
        <v>22</v>
      </c>
      <c r="D23" s="8" t="s">
        <v>30</v>
      </c>
      <c r="E23" s="8" t="s">
        <v>31</v>
      </c>
      <c r="F23" s="8" t="s">
        <v>60</v>
      </c>
      <c r="G23" s="9">
        <v>2</v>
      </c>
      <c r="H23" s="9">
        <v>20</v>
      </c>
      <c r="I23" s="9">
        <v>10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5">
        <v>0</v>
      </c>
      <c r="P23" s="8">
        <v>0</v>
      </c>
      <c r="Q23" s="8">
        <v>0</v>
      </c>
      <c r="R23" s="8">
        <v>0</v>
      </c>
      <c r="S23" s="8">
        <v>0</v>
      </c>
      <c r="T23" s="5">
        <f>IFERROR(VLOOKUP(A23,[1]OIL!$A$2:$N$51,14,),0)</f>
        <v>5000</v>
      </c>
      <c r="U23" s="3">
        <f t="shared" si="1"/>
        <v>5000</v>
      </c>
    </row>
    <row r="24" spans="1:21" s="1" customFormat="1" ht="15">
      <c r="A24" s="8" t="s">
        <v>61</v>
      </c>
      <c r="B24" s="8" t="s">
        <v>29</v>
      </c>
      <c r="C24" s="8" t="s">
        <v>22</v>
      </c>
      <c r="D24" s="8" t="s">
        <v>30</v>
      </c>
      <c r="E24" s="8" t="s">
        <v>31</v>
      </c>
      <c r="F24" s="8" t="s">
        <v>62</v>
      </c>
      <c r="G24" s="9">
        <v>2</v>
      </c>
      <c r="H24" s="9">
        <v>20</v>
      </c>
      <c r="I24" s="9">
        <v>10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5">
        <v>5000</v>
      </c>
      <c r="P24" s="8">
        <v>1250</v>
      </c>
      <c r="Q24" s="8">
        <v>1250</v>
      </c>
      <c r="R24" s="8">
        <v>1250</v>
      </c>
      <c r="S24" s="8">
        <v>1250</v>
      </c>
      <c r="T24" s="5">
        <f>IFERROR(VLOOKUP(A24,[1]OIL!$A$2:$N$51,14,),0)</f>
        <v>0</v>
      </c>
      <c r="U24" s="3">
        <f t="shared" si="1"/>
        <v>5000</v>
      </c>
    </row>
    <row r="25" spans="1:21" ht="15">
      <c r="A25" s="4" t="s">
        <v>63</v>
      </c>
      <c r="B25" s="8" t="s">
        <v>64</v>
      </c>
      <c r="C25" s="8" t="s">
        <v>22</v>
      </c>
      <c r="D25" s="8" t="s">
        <v>30</v>
      </c>
      <c r="E25" s="8" t="s">
        <v>65</v>
      </c>
      <c r="F25" s="8" t="s">
        <v>66</v>
      </c>
      <c r="G25" s="9">
        <v>2</v>
      </c>
      <c r="H25" s="9">
        <v>20</v>
      </c>
      <c r="I25" s="9">
        <v>10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f>IFERROR(VLOOKUP(A25,[1]OIL!$A$2:$N$51,14,),0)</f>
        <v>0</v>
      </c>
      <c r="U25" s="3">
        <f t="shared" si="1"/>
        <v>0</v>
      </c>
    </row>
    <row r="26" spans="1:21" ht="15">
      <c r="A26" s="4" t="s">
        <v>67</v>
      </c>
      <c r="B26" s="8" t="s">
        <v>29</v>
      </c>
      <c r="C26" s="8" t="s">
        <v>22</v>
      </c>
      <c r="D26" s="8" t="s">
        <v>30</v>
      </c>
      <c r="E26" s="8" t="s">
        <v>31</v>
      </c>
      <c r="F26" s="8" t="s">
        <v>68</v>
      </c>
      <c r="G26" s="9">
        <v>6</v>
      </c>
      <c r="H26" s="9">
        <v>18</v>
      </c>
      <c r="I26" s="9">
        <v>3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f>IFERROR(VLOOKUP(A26,[1]OIL!$A$2:$N$51,14,),0)</f>
        <v>0</v>
      </c>
      <c r="U26" s="3">
        <f t="shared" si="1"/>
        <v>0</v>
      </c>
    </row>
    <row r="27" spans="1:21" ht="15">
      <c r="A27" s="4" t="s">
        <v>69</v>
      </c>
      <c r="B27" s="8" t="s">
        <v>21</v>
      </c>
      <c r="C27" s="8" t="s">
        <v>22</v>
      </c>
      <c r="D27" s="8" t="s">
        <v>30</v>
      </c>
      <c r="E27" s="8" t="s">
        <v>21</v>
      </c>
      <c r="F27" s="8" t="s">
        <v>70</v>
      </c>
      <c r="G27" s="9">
        <v>5</v>
      </c>
      <c r="H27" s="9">
        <v>20</v>
      </c>
      <c r="I27" s="9">
        <v>4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f>IFERROR(VLOOKUP(A27,[1]OIL!$A$2:$N$51,14,),0)</f>
        <v>0</v>
      </c>
      <c r="U27" s="3">
        <f t="shared" si="1"/>
        <v>0</v>
      </c>
    </row>
    <row r="28" spans="1:21" ht="15">
      <c r="A28" s="4" t="s">
        <v>71</v>
      </c>
      <c r="B28" s="8" t="s">
        <v>21</v>
      </c>
      <c r="C28" s="8" t="s">
        <v>22</v>
      </c>
      <c r="D28" s="8" t="s">
        <v>30</v>
      </c>
      <c r="E28" s="8" t="s">
        <v>21</v>
      </c>
      <c r="F28" s="8" t="s">
        <v>72</v>
      </c>
      <c r="G28" s="9">
        <v>1</v>
      </c>
      <c r="H28" s="9">
        <v>20</v>
      </c>
      <c r="I28" s="9">
        <v>20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f>IFERROR(VLOOKUP(A28,[1]OIL!$A$2:$N$51,14,),0)</f>
        <v>0</v>
      </c>
      <c r="U28" s="3">
        <f t="shared" si="1"/>
        <v>0</v>
      </c>
    </row>
    <row r="29" spans="1:21" ht="15">
      <c r="A29" s="4" t="s">
        <v>73</v>
      </c>
      <c r="B29" s="8" t="s">
        <v>29</v>
      </c>
      <c r="C29" s="8" t="s">
        <v>22</v>
      </c>
      <c r="D29" s="8" t="s">
        <v>30</v>
      </c>
      <c r="E29" s="8" t="s">
        <v>31</v>
      </c>
      <c r="F29" s="8" t="s">
        <v>74</v>
      </c>
      <c r="G29" s="9">
        <v>6</v>
      </c>
      <c r="H29" s="9">
        <v>18</v>
      </c>
      <c r="I29" s="9">
        <v>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f>IFERROR(VLOOKUP(A29,[1]OIL!$A$2:$N$51,14,),0)</f>
        <v>0</v>
      </c>
      <c r="U29" s="3">
        <f t="shared" si="1"/>
        <v>0</v>
      </c>
    </row>
    <row r="30" spans="1:21" ht="15">
      <c r="A30" s="4" t="s">
        <v>75</v>
      </c>
      <c r="B30" s="8" t="s">
        <v>29</v>
      </c>
      <c r="C30" s="8" t="s">
        <v>22</v>
      </c>
      <c r="D30" s="8" t="s">
        <v>30</v>
      </c>
      <c r="E30" s="8" t="s">
        <v>31</v>
      </c>
      <c r="F30" s="8" t="s">
        <v>76</v>
      </c>
      <c r="G30" s="9">
        <v>3</v>
      </c>
      <c r="H30" s="9">
        <v>18</v>
      </c>
      <c r="I30" s="9">
        <v>6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f>IFERROR(VLOOKUP(A30,[1]OIL!$A$2:$N$51,14,),0)</f>
        <v>0</v>
      </c>
      <c r="U30" s="3">
        <f t="shared" si="1"/>
        <v>0</v>
      </c>
    </row>
    <row r="31" spans="1:21" ht="15">
      <c r="A31" s="4" t="s">
        <v>77</v>
      </c>
      <c r="B31" s="8" t="s">
        <v>78</v>
      </c>
      <c r="C31" s="8" t="s">
        <v>22</v>
      </c>
      <c r="D31" s="8" t="s">
        <v>30</v>
      </c>
      <c r="E31" s="8" t="s">
        <v>79</v>
      </c>
      <c r="F31" s="12" t="s">
        <v>80</v>
      </c>
      <c r="G31" s="13">
        <v>3</v>
      </c>
      <c r="H31" s="13">
        <v>18</v>
      </c>
      <c r="I31" s="13">
        <v>6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f>IFERROR(VLOOKUP(A31,[1]OIL!$A$2:$N$51,14,),0)</f>
        <v>0</v>
      </c>
      <c r="U31" s="3">
        <f t="shared" si="1"/>
        <v>0</v>
      </c>
    </row>
    <row r="32" spans="1:21" ht="15">
      <c r="A32" s="4" t="s">
        <v>81</v>
      </c>
      <c r="B32" s="8" t="s">
        <v>78</v>
      </c>
      <c r="C32" s="8" t="s">
        <v>22</v>
      </c>
      <c r="D32" s="8" t="s">
        <v>30</v>
      </c>
      <c r="E32" s="8" t="s">
        <v>79</v>
      </c>
      <c r="F32" s="8" t="s">
        <v>82</v>
      </c>
      <c r="G32" s="9">
        <v>1</v>
      </c>
      <c r="H32" s="9">
        <v>20</v>
      </c>
      <c r="I32" s="9">
        <v>20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f>IFERROR(VLOOKUP(A32,[1]OIL!$A$2:$N$51,14,),0)</f>
        <v>0</v>
      </c>
      <c r="U32" s="3">
        <f t="shared" si="1"/>
        <v>0</v>
      </c>
    </row>
    <row r="33" spans="1:21" ht="15">
      <c r="A33" s="4" t="s">
        <v>83</v>
      </c>
      <c r="B33" s="8" t="s">
        <v>78</v>
      </c>
      <c r="C33" s="8" t="s">
        <v>22</v>
      </c>
      <c r="D33" s="8" t="s">
        <v>30</v>
      </c>
      <c r="E33" s="8" t="s">
        <v>79</v>
      </c>
      <c r="F33" s="8" t="s">
        <v>84</v>
      </c>
      <c r="G33" s="9">
        <v>5</v>
      </c>
      <c r="H33" s="9">
        <v>20</v>
      </c>
      <c r="I33" s="9">
        <v>4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f>IFERROR(VLOOKUP(A33,[1]OIL!$A$2:$N$51,14,),0)</f>
        <v>0</v>
      </c>
      <c r="U33" s="3">
        <f t="shared" si="1"/>
        <v>0</v>
      </c>
    </row>
    <row r="34" spans="1:21" ht="15">
      <c r="A34" s="4" t="s">
        <v>85</v>
      </c>
      <c r="B34" s="8" t="s">
        <v>29</v>
      </c>
      <c r="C34" s="8" t="s">
        <v>22</v>
      </c>
      <c r="D34" s="8" t="s">
        <v>30</v>
      </c>
      <c r="E34" s="8" t="s">
        <v>31</v>
      </c>
      <c r="F34" s="8" t="s">
        <v>86</v>
      </c>
      <c r="G34" s="9">
        <v>5</v>
      </c>
      <c r="H34" s="9">
        <v>20</v>
      </c>
      <c r="I34" s="9">
        <v>4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f>IFERROR(VLOOKUP(A34,[1]OIL!$A$2:$N$51,14,),0)</f>
        <v>0</v>
      </c>
      <c r="U34" s="3">
        <f t="shared" si="1"/>
        <v>0</v>
      </c>
    </row>
    <row r="35" spans="1:21" ht="15">
      <c r="A35" s="4" t="s">
        <v>87</v>
      </c>
      <c r="B35" s="8" t="s">
        <v>29</v>
      </c>
      <c r="C35" s="8" t="s">
        <v>22</v>
      </c>
      <c r="D35" s="8" t="s">
        <v>30</v>
      </c>
      <c r="E35" s="8" t="s">
        <v>31</v>
      </c>
      <c r="F35" s="14" t="s">
        <v>88</v>
      </c>
      <c r="G35" s="9">
        <v>4</v>
      </c>
      <c r="H35" s="9">
        <v>20</v>
      </c>
      <c r="I35" s="9">
        <v>5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f>IFERROR(VLOOKUP(A35,[1]OIL!$A$2:$N$51,14,),0)</f>
        <v>0</v>
      </c>
      <c r="U35" s="3">
        <f t="shared" si="1"/>
        <v>0</v>
      </c>
    </row>
    <row r="36" spans="1:21" ht="15">
      <c r="A36" s="4" t="s">
        <v>89</v>
      </c>
      <c r="B36" s="8" t="s">
        <v>29</v>
      </c>
      <c r="C36" s="8" t="s">
        <v>22</v>
      </c>
      <c r="D36" s="8" t="s">
        <v>30</v>
      </c>
      <c r="E36" s="8" t="s">
        <v>31</v>
      </c>
      <c r="F36" s="12" t="s">
        <v>90</v>
      </c>
      <c r="G36" s="15">
        <v>0.5</v>
      </c>
      <c r="H36" s="9">
        <f>I36*G36</f>
        <v>12</v>
      </c>
      <c r="I36" s="12">
        <v>24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f>IFERROR(VLOOKUP(A36,[1]OIL!$A$2:$N$51,14,),0)</f>
        <v>5000</v>
      </c>
      <c r="U36" s="3">
        <f t="shared" si="1"/>
        <v>5000</v>
      </c>
    </row>
    <row r="37" spans="1:21" ht="15">
      <c r="A37" s="4" t="s">
        <v>91</v>
      </c>
      <c r="B37" s="8" t="s">
        <v>29</v>
      </c>
      <c r="C37" s="8" t="s">
        <v>22</v>
      </c>
      <c r="D37" s="8" t="s">
        <v>30</v>
      </c>
      <c r="E37" s="8" t="s">
        <v>31</v>
      </c>
      <c r="F37" s="8" t="s">
        <v>92</v>
      </c>
      <c r="G37" s="9">
        <v>6</v>
      </c>
      <c r="H37" s="9">
        <v>18</v>
      </c>
      <c r="I37" s="9">
        <v>3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f>IFERROR(VLOOKUP(A37,[1]OIL!$A$2:$N$51,14,),0)</f>
        <v>0</v>
      </c>
      <c r="U37" s="3">
        <f t="shared" si="1"/>
        <v>0</v>
      </c>
    </row>
    <row r="38" spans="1:21" ht="15">
      <c r="A38" s="4" t="s">
        <v>93</v>
      </c>
      <c r="B38" s="8" t="s">
        <v>29</v>
      </c>
      <c r="C38" s="8" t="s">
        <v>22</v>
      </c>
      <c r="D38" s="8" t="s">
        <v>30</v>
      </c>
      <c r="E38" s="8" t="s">
        <v>31</v>
      </c>
      <c r="F38" s="8" t="s">
        <v>94</v>
      </c>
      <c r="G38" s="9">
        <v>2</v>
      </c>
      <c r="H38" s="9">
        <v>24</v>
      </c>
      <c r="I38" s="9">
        <v>24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f>IFERROR(VLOOKUP(A38,[1]OIL!$A$2:$N$51,14,),0)</f>
        <v>0</v>
      </c>
      <c r="U38" s="3">
        <f t="shared" si="1"/>
        <v>0</v>
      </c>
    </row>
    <row r="39" spans="1:21" ht="15">
      <c r="A39" s="4" t="s">
        <v>95</v>
      </c>
      <c r="B39" s="8" t="s">
        <v>29</v>
      </c>
      <c r="C39" s="8" t="s">
        <v>22</v>
      </c>
      <c r="D39" s="8" t="s">
        <v>30</v>
      </c>
      <c r="E39" s="8" t="s">
        <v>31</v>
      </c>
      <c r="F39" s="12" t="s">
        <v>96</v>
      </c>
      <c r="G39" s="15">
        <v>0.1</v>
      </c>
      <c r="H39" s="11">
        <f>I39*G39</f>
        <v>2.4000000000000004</v>
      </c>
      <c r="I39" s="12">
        <v>24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f>IFERROR(VLOOKUP(A39,[1]OIL!$A$2:$N$51,14,),0)</f>
        <v>0</v>
      </c>
      <c r="U39" s="3">
        <f t="shared" si="1"/>
        <v>0</v>
      </c>
    </row>
    <row r="40" spans="1:21" ht="15">
      <c r="A40" s="4" t="s">
        <v>97</v>
      </c>
      <c r="B40" s="8" t="s">
        <v>29</v>
      </c>
      <c r="C40" s="8" t="s">
        <v>22</v>
      </c>
      <c r="D40" s="8" t="s">
        <v>30</v>
      </c>
      <c r="E40" s="8" t="s">
        <v>31</v>
      </c>
      <c r="F40" s="8" t="s">
        <v>98</v>
      </c>
      <c r="G40" s="9">
        <v>5</v>
      </c>
      <c r="H40" s="9">
        <v>20</v>
      </c>
      <c r="I40" s="9">
        <v>4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f>IFERROR(VLOOKUP(A40,[1]OIL!$A$2:$N$51,14,),0)</f>
        <v>0</v>
      </c>
      <c r="U40" s="3">
        <f t="shared" si="1"/>
        <v>0</v>
      </c>
    </row>
    <row r="41" spans="1:21" ht="15">
      <c r="A41" s="4" t="s">
        <v>99</v>
      </c>
      <c r="B41" s="8" t="s">
        <v>29</v>
      </c>
      <c r="C41" s="8" t="s">
        <v>22</v>
      </c>
      <c r="D41" s="8" t="s">
        <v>30</v>
      </c>
      <c r="E41" s="8" t="s">
        <v>31</v>
      </c>
      <c r="F41" s="8" t="s">
        <v>100</v>
      </c>
      <c r="G41" s="11">
        <v>14.3</v>
      </c>
      <c r="H41" s="11">
        <f>G41*I41</f>
        <v>14.3</v>
      </c>
      <c r="I41" s="8">
        <v>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f>IFERROR(VLOOKUP(A41,[1]OIL!$A$2:$N$51,14,),0)</f>
        <v>0</v>
      </c>
      <c r="U41" s="3">
        <f t="shared" si="1"/>
        <v>0</v>
      </c>
    </row>
    <row r="42" spans="1:21" ht="15">
      <c r="A42" s="4" t="s">
        <v>101</v>
      </c>
      <c r="B42" s="8" t="s">
        <v>78</v>
      </c>
      <c r="C42" s="8" t="s">
        <v>22</v>
      </c>
      <c r="D42" s="8" t="s">
        <v>102</v>
      </c>
      <c r="E42" s="8" t="s">
        <v>103</v>
      </c>
      <c r="F42" s="8" t="s">
        <v>104</v>
      </c>
      <c r="G42" s="9">
        <v>5</v>
      </c>
      <c r="H42" s="9">
        <v>5</v>
      </c>
      <c r="I42" s="9">
        <v>1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f>IFERROR(VLOOKUP(A42,[1]OIL!$A$2:$N$51,14,),0)</f>
        <v>0</v>
      </c>
      <c r="U42" s="3">
        <f t="shared" si="1"/>
        <v>0</v>
      </c>
    </row>
    <row r="43" spans="1:21" ht="15">
      <c r="A43" s="4" t="s">
        <v>105</v>
      </c>
      <c r="B43" s="8" t="s">
        <v>78</v>
      </c>
      <c r="C43" s="8" t="s">
        <v>22</v>
      </c>
      <c r="D43" s="8" t="s">
        <v>102</v>
      </c>
      <c r="E43" s="8" t="s">
        <v>103</v>
      </c>
      <c r="F43" s="12" t="s">
        <v>106</v>
      </c>
      <c r="G43" s="9">
        <v>1</v>
      </c>
      <c r="H43" s="9">
        <v>20</v>
      </c>
      <c r="I43" s="9">
        <v>5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f>IFERROR(VLOOKUP(A43,[1]OIL!$A$2:$N$51,14,),0)</f>
        <v>0</v>
      </c>
      <c r="U43" s="3">
        <f t="shared" si="1"/>
        <v>0</v>
      </c>
    </row>
    <row r="44" spans="1:21" ht="15">
      <c r="A44" s="4" t="s">
        <v>107</v>
      </c>
      <c r="B44" s="8" t="s">
        <v>29</v>
      </c>
      <c r="C44" s="8" t="s">
        <v>22</v>
      </c>
      <c r="D44" s="8" t="s">
        <v>108</v>
      </c>
      <c r="E44" s="8" t="s">
        <v>109</v>
      </c>
      <c r="F44" s="8" t="s">
        <v>110</v>
      </c>
      <c r="G44" s="9">
        <v>1</v>
      </c>
      <c r="H44" s="9">
        <v>16</v>
      </c>
      <c r="I44" s="9">
        <v>16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5">
        <v>1000</v>
      </c>
      <c r="P44" s="8">
        <v>250</v>
      </c>
      <c r="Q44" s="8">
        <v>250</v>
      </c>
      <c r="R44" s="8">
        <v>250</v>
      </c>
      <c r="S44" s="8">
        <v>250</v>
      </c>
      <c r="T44" s="5">
        <f>IFERROR(VLOOKUP(A44,[1]OIL!$A$2:$N$51,14,),0)</f>
        <v>5000</v>
      </c>
      <c r="U44" s="3">
        <f t="shared" si="1"/>
        <v>6000</v>
      </c>
    </row>
    <row r="45" spans="1:21" ht="15">
      <c r="A45" s="4" t="s">
        <v>111</v>
      </c>
      <c r="B45" s="8" t="s">
        <v>29</v>
      </c>
      <c r="C45" s="8" t="s">
        <v>22</v>
      </c>
      <c r="D45" s="8" t="s">
        <v>108</v>
      </c>
      <c r="E45" s="8" t="s">
        <v>109</v>
      </c>
      <c r="F45" s="12" t="s">
        <v>112</v>
      </c>
      <c r="G45" s="15">
        <v>0.5</v>
      </c>
      <c r="H45" s="11">
        <f>I45*G45</f>
        <v>12</v>
      </c>
      <c r="I45" s="12">
        <v>24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5">
        <v>500</v>
      </c>
      <c r="P45" s="8">
        <v>125</v>
      </c>
      <c r="Q45" s="8">
        <v>125</v>
      </c>
      <c r="R45" s="8">
        <v>125</v>
      </c>
      <c r="S45" s="8">
        <v>125</v>
      </c>
      <c r="T45" s="5">
        <f>IFERROR(VLOOKUP(A45,[1]OIL!$A$2:$N$51,14,),0)</f>
        <v>0</v>
      </c>
      <c r="U45" s="3">
        <f t="shared" si="1"/>
        <v>500</v>
      </c>
    </row>
    <row r="46" spans="1:21" ht="15">
      <c r="A46" s="4" t="s">
        <v>113</v>
      </c>
      <c r="B46" s="8" t="s">
        <v>29</v>
      </c>
      <c r="C46" s="8" t="s">
        <v>22</v>
      </c>
      <c r="D46" s="8" t="s">
        <v>108</v>
      </c>
      <c r="E46" s="8" t="s">
        <v>109</v>
      </c>
      <c r="F46" s="14" t="s">
        <v>114</v>
      </c>
      <c r="G46" s="8">
        <v>15</v>
      </c>
      <c r="H46" s="8">
        <v>15</v>
      </c>
      <c r="I46" s="8">
        <v>1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f>IFERROR(VLOOKUP(A46,[1]OIL!$A$2:$N$51,14,),0)</f>
        <v>0</v>
      </c>
      <c r="U46" s="3">
        <f t="shared" si="1"/>
        <v>0</v>
      </c>
    </row>
    <row r="47" spans="1:21" ht="15">
      <c r="A47" s="4" t="s">
        <v>115</v>
      </c>
      <c r="B47" s="8" t="s">
        <v>29</v>
      </c>
      <c r="C47" s="8" t="s">
        <v>116</v>
      </c>
      <c r="D47" s="8" t="s">
        <v>117</v>
      </c>
      <c r="E47" s="8" t="s">
        <v>117</v>
      </c>
      <c r="F47" s="8" t="s">
        <v>118</v>
      </c>
      <c r="G47" s="9">
        <v>15</v>
      </c>
      <c r="H47" s="9">
        <f t="shared" ref="H47:H48" si="2">G47</f>
        <v>15</v>
      </c>
      <c r="I47" s="8">
        <v>1</v>
      </c>
      <c r="J47" s="8">
        <v>10000</v>
      </c>
      <c r="K47" s="8">
        <v>2500</v>
      </c>
      <c r="L47" s="8">
        <v>2500</v>
      </c>
      <c r="M47" s="8">
        <v>2500</v>
      </c>
      <c r="N47" s="8">
        <v>2500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f>IFERROR(VLOOKUP(A47,[1]OIL!$A$2:$N$51,14,),0)</f>
        <v>0</v>
      </c>
      <c r="U47" s="3">
        <f t="shared" si="1"/>
        <v>10000</v>
      </c>
    </row>
    <row r="48" spans="1:21" ht="15">
      <c r="A48" s="4" t="s">
        <v>119</v>
      </c>
      <c r="B48" s="8" t="s">
        <v>29</v>
      </c>
      <c r="C48" s="8" t="s">
        <v>116</v>
      </c>
      <c r="D48" s="8" t="s">
        <v>117</v>
      </c>
      <c r="E48" s="8" t="s">
        <v>117</v>
      </c>
      <c r="F48" s="8" t="s">
        <v>120</v>
      </c>
      <c r="G48" s="11">
        <v>14.28</v>
      </c>
      <c r="H48" s="11">
        <f t="shared" si="2"/>
        <v>14.28</v>
      </c>
      <c r="I48" s="8">
        <v>1</v>
      </c>
      <c r="J48" s="8">
        <v>10000</v>
      </c>
      <c r="K48" s="8">
        <v>2500</v>
      </c>
      <c r="L48" s="8">
        <v>2500</v>
      </c>
      <c r="M48" s="8">
        <v>2500</v>
      </c>
      <c r="N48" s="8">
        <v>2500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f>IFERROR(VLOOKUP(A48,[1]OIL!$A$2:$N$51,14,),0)</f>
        <v>0</v>
      </c>
      <c r="U48" s="3">
        <f t="shared" si="1"/>
        <v>10000</v>
      </c>
    </row>
    <row r="49" spans="1:21" ht="15">
      <c r="A49" s="4" t="s">
        <v>121</v>
      </c>
      <c r="B49" s="8" t="s">
        <v>29</v>
      </c>
      <c r="C49" s="8" t="s">
        <v>116</v>
      </c>
      <c r="D49" s="8" t="s">
        <v>117</v>
      </c>
      <c r="E49" s="8" t="s">
        <v>117</v>
      </c>
      <c r="F49" s="8" t="s">
        <v>122</v>
      </c>
      <c r="G49" s="9">
        <v>15</v>
      </c>
      <c r="H49" s="9">
        <v>15</v>
      </c>
      <c r="I49" s="8">
        <v>1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f>IFERROR(VLOOKUP(A49,[1]OIL!$A$2:$N$51,14,),0)</f>
        <v>0</v>
      </c>
      <c r="U49" s="3">
        <f t="shared" si="1"/>
        <v>0</v>
      </c>
    </row>
    <row r="50" spans="1:21" ht="15">
      <c r="A50" s="4" t="s">
        <v>123</v>
      </c>
      <c r="B50" s="8" t="s">
        <v>29</v>
      </c>
      <c r="C50" s="8" t="s">
        <v>22</v>
      </c>
      <c r="D50" s="8" t="s">
        <v>124</v>
      </c>
      <c r="E50" s="8" t="s">
        <v>31</v>
      </c>
      <c r="F50" s="8" t="s">
        <v>125</v>
      </c>
      <c r="G50" s="11">
        <v>20</v>
      </c>
      <c r="H50" s="9">
        <v>20</v>
      </c>
      <c r="I50" s="8">
        <v>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5">
        <v>6000</v>
      </c>
      <c r="P50" s="8">
        <f>+O50</f>
        <v>6000</v>
      </c>
      <c r="Q50" s="8">
        <v>0</v>
      </c>
      <c r="R50" s="8">
        <v>0</v>
      </c>
      <c r="S50" s="8">
        <v>0</v>
      </c>
      <c r="T50" s="5">
        <f>IFERROR(VLOOKUP(A50,[1]OIL!$A$2:$N$51,14,),0)</f>
        <v>0</v>
      </c>
      <c r="U50" s="3">
        <f t="shared" si="1"/>
        <v>6000</v>
      </c>
    </row>
    <row r="51" spans="1:21" ht="15">
      <c r="A51" s="4" t="s">
        <v>126</v>
      </c>
      <c r="B51" s="8" t="s">
        <v>29</v>
      </c>
      <c r="C51" s="8" t="s">
        <v>22</v>
      </c>
      <c r="D51" s="8" t="s">
        <v>124</v>
      </c>
      <c r="E51" s="8" t="s">
        <v>31</v>
      </c>
      <c r="F51" s="8" t="s">
        <v>127</v>
      </c>
      <c r="G51" s="9">
        <v>20</v>
      </c>
      <c r="H51" s="9">
        <v>20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5">
        <v>6000</v>
      </c>
      <c r="P51" s="8">
        <f t="shared" ref="P51:P55" si="3">+O51</f>
        <v>6000</v>
      </c>
      <c r="Q51" s="8">
        <v>0</v>
      </c>
      <c r="R51" s="8">
        <v>0</v>
      </c>
      <c r="S51" s="8">
        <v>0</v>
      </c>
      <c r="T51" s="5">
        <f>IFERROR(VLOOKUP(A51,[1]OIL!$A$2:$N$51,14,),0)</f>
        <v>0</v>
      </c>
      <c r="U51" s="3">
        <f t="shared" si="1"/>
        <v>6000</v>
      </c>
    </row>
    <row r="52" spans="1:21" ht="15">
      <c r="A52" s="4" t="s">
        <v>128</v>
      </c>
      <c r="B52" s="8" t="s">
        <v>29</v>
      </c>
      <c r="C52" s="8" t="s">
        <v>22</v>
      </c>
      <c r="D52" s="8" t="s">
        <v>124</v>
      </c>
      <c r="E52" s="8" t="s">
        <v>31</v>
      </c>
      <c r="F52" s="8" t="s">
        <v>129</v>
      </c>
      <c r="G52" s="9">
        <v>20</v>
      </c>
      <c r="H52" s="9">
        <v>20</v>
      </c>
      <c r="I52" s="8">
        <v>1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5">
        <v>6000</v>
      </c>
      <c r="P52" s="8">
        <f t="shared" si="3"/>
        <v>6000</v>
      </c>
      <c r="Q52" s="8">
        <v>0</v>
      </c>
      <c r="R52" s="8">
        <v>0</v>
      </c>
      <c r="S52" s="8">
        <v>0</v>
      </c>
      <c r="T52" s="5">
        <f>IFERROR(VLOOKUP(A52,[1]OIL!$A$2:$N$51,14,),0)</f>
        <v>0</v>
      </c>
      <c r="U52" s="3">
        <f t="shared" si="1"/>
        <v>6000</v>
      </c>
    </row>
    <row r="53" spans="1:21" ht="15">
      <c r="A53" s="4" t="s">
        <v>130</v>
      </c>
      <c r="B53" s="8" t="s">
        <v>29</v>
      </c>
      <c r="C53" s="8" t="s">
        <v>22</v>
      </c>
      <c r="D53" s="8" t="s">
        <v>124</v>
      </c>
      <c r="E53" s="8" t="s">
        <v>131</v>
      </c>
      <c r="F53" s="14" t="s">
        <v>132</v>
      </c>
      <c r="G53" s="9">
        <v>2</v>
      </c>
      <c r="H53" s="9">
        <v>2</v>
      </c>
      <c r="I53" s="9">
        <v>20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5">
        <v>0</v>
      </c>
      <c r="P53" s="8">
        <f t="shared" si="3"/>
        <v>0</v>
      </c>
      <c r="Q53" s="8">
        <v>0</v>
      </c>
      <c r="R53" s="8">
        <v>0</v>
      </c>
      <c r="S53" s="8">
        <v>0</v>
      </c>
      <c r="T53" s="5">
        <f>IFERROR(VLOOKUP(A53,[1]OIL!$A$2:$N$51,14,),0)</f>
        <v>0</v>
      </c>
      <c r="U53" s="3">
        <f t="shared" si="1"/>
        <v>0</v>
      </c>
    </row>
    <row r="54" spans="1:21" ht="15">
      <c r="A54" s="4" t="s">
        <v>133</v>
      </c>
      <c r="B54" s="8" t="s">
        <v>29</v>
      </c>
      <c r="C54" s="8" t="s">
        <v>22</v>
      </c>
      <c r="D54" s="8" t="s">
        <v>124</v>
      </c>
      <c r="E54" s="8" t="s">
        <v>134</v>
      </c>
      <c r="F54" s="14" t="s">
        <v>135</v>
      </c>
      <c r="G54" s="9">
        <v>1</v>
      </c>
      <c r="H54" s="9">
        <v>1</v>
      </c>
      <c r="I54" s="9">
        <v>4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5">
        <v>1000</v>
      </c>
      <c r="P54" s="8">
        <f t="shared" si="3"/>
        <v>1000</v>
      </c>
      <c r="Q54" s="8">
        <v>0</v>
      </c>
      <c r="R54" s="8">
        <v>0</v>
      </c>
      <c r="S54" s="8">
        <v>0</v>
      </c>
      <c r="T54" s="5">
        <f>IFERROR(VLOOKUP(A54,[1]OIL!$A$2:$N$51,14,),0)</f>
        <v>0</v>
      </c>
      <c r="U54" s="3">
        <f t="shared" si="1"/>
        <v>1000</v>
      </c>
    </row>
    <row r="55" spans="1:21" ht="15">
      <c r="A55" s="4" t="s">
        <v>136</v>
      </c>
      <c r="B55" s="8" t="s">
        <v>29</v>
      </c>
      <c r="C55" s="8" t="s">
        <v>22</v>
      </c>
      <c r="D55" s="8" t="s">
        <v>124</v>
      </c>
      <c r="E55" s="8" t="s">
        <v>134</v>
      </c>
      <c r="F55" s="14" t="s">
        <v>137</v>
      </c>
      <c r="G55" s="9">
        <v>1</v>
      </c>
      <c r="H55" s="9">
        <v>1</v>
      </c>
      <c r="I55" s="9">
        <v>10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5">
        <v>1000</v>
      </c>
      <c r="P55" s="8">
        <f t="shared" si="3"/>
        <v>1000</v>
      </c>
      <c r="Q55" s="8">
        <v>0</v>
      </c>
      <c r="R55" s="8">
        <v>0</v>
      </c>
      <c r="S55" s="8">
        <v>0</v>
      </c>
      <c r="T55" s="5">
        <f>IFERROR(VLOOKUP(A55,[1]OIL!$A$2:$N$51,14,),0)</f>
        <v>0</v>
      </c>
      <c r="U55" s="3">
        <f t="shared" si="1"/>
        <v>1000</v>
      </c>
    </row>
    <row r="56" spans="1:21" ht="15">
      <c r="A56" s="4" t="s">
        <v>138</v>
      </c>
      <c r="B56" s="8" t="s">
        <v>78</v>
      </c>
      <c r="C56" s="8" t="s">
        <v>22</v>
      </c>
      <c r="D56" s="8" t="s">
        <v>139</v>
      </c>
      <c r="E56" s="8" t="s">
        <v>140</v>
      </c>
      <c r="F56" s="8" t="s">
        <v>141</v>
      </c>
      <c r="G56" s="9">
        <v>1</v>
      </c>
      <c r="H56" s="9">
        <f>G56*I56</f>
        <v>16</v>
      </c>
      <c r="I56" s="9">
        <v>16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f>IFERROR(VLOOKUP(A56,[1]OIL!$A$2:$N$51,14,),0)</f>
        <v>0</v>
      </c>
      <c r="U56" s="3">
        <f t="shared" si="1"/>
        <v>0</v>
      </c>
    </row>
    <row r="57" spans="1:21" ht="15">
      <c r="A57" s="4" t="s">
        <v>142</v>
      </c>
      <c r="B57" s="8" t="s">
        <v>29</v>
      </c>
      <c r="C57" s="8" t="s">
        <v>22</v>
      </c>
      <c r="D57" s="8" t="s">
        <v>134</v>
      </c>
      <c r="E57" s="8" t="s">
        <v>143</v>
      </c>
      <c r="F57" s="8" t="s">
        <v>144</v>
      </c>
      <c r="G57" s="9">
        <v>1</v>
      </c>
      <c r="H57" s="9">
        <v>16</v>
      </c>
      <c r="I57" s="9">
        <v>16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5">
        <v>30000</v>
      </c>
      <c r="P57" s="8">
        <v>7500</v>
      </c>
      <c r="Q57" s="8">
        <v>7500</v>
      </c>
      <c r="R57" s="8">
        <v>7500</v>
      </c>
      <c r="S57" s="8">
        <v>7500</v>
      </c>
      <c r="T57" s="5">
        <f>IFERROR(VLOOKUP(A57,[1]OIL!$A$2:$N$51,14,),0)</f>
        <v>40000</v>
      </c>
      <c r="U57" s="3">
        <f t="shared" si="1"/>
        <v>70000</v>
      </c>
    </row>
    <row r="58" spans="1:21" ht="15">
      <c r="A58" s="4" t="s">
        <v>145</v>
      </c>
      <c r="B58" s="8" t="s">
        <v>29</v>
      </c>
      <c r="C58" s="8" t="s">
        <v>22</v>
      </c>
      <c r="D58" s="8" t="s">
        <v>134</v>
      </c>
      <c r="E58" s="8" t="s">
        <v>143</v>
      </c>
      <c r="F58" s="8" t="s">
        <v>146</v>
      </c>
      <c r="G58" s="9">
        <v>5</v>
      </c>
      <c r="H58" s="9">
        <v>20</v>
      </c>
      <c r="I58" s="9">
        <v>4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5">
        <v>8000</v>
      </c>
      <c r="P58" s="8">
        <v>2000</v>
      </c>
      <c r="Q58" s="8">
        <v>2000</v>
      </c>
      <c r="R58" s="8">
        <v>2000</v>
      </c>
      <c r="S58" s="8">
        <v>2000</v>
      </c>
      <c r="T58" s="5">
        <f>IFERROR(VLOOKUP(A58,[1]OIL!$A$2:$N$51,14,),0)</f>
        <v>15000</v>
      </c>
      <c r="U58" s="3">
        <f t="shared" si="1"/>
        <v>23000</v>
      </c>
    </row>
    <row r="59" spans="1:21" ht="15">
      <c r="A59" s="4" t="s">
        <v>147</v>
      </c>
      <c r="B59" s="8" t="s">
        <v>29</v>
      </c>
      <c r="C59" s="8" t="s">
        <v>22</v>
      </c>
      <c r="D59" s="8" t="s">
        <v>134</v>
      </c>
      <c r="E59" s="8" t="s">
        <v>143</v>
      </c>
      <c r="F59" s="8" t="s">
        <v>148</v>
      </c>
      <c r="G59" s="8">
        <v>200</v>
      </c>
      <c r="H59" s="8">
        <v>200</v>
      </c>
      <c r="I59" s="8">
        <v>1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5">
        <v>30000</v>
      </c>
      <c r="P59" s="8">
        <v>7500</v>
      </c>
      <c r="Q59" s="8">
        <v>7500</v>
      </c>
      <c r="R59" s="8">
        <v>7500</v>
      </c>
      <c r="S59" s="8">
        <v>7500</v>
      </c>
      <c r="T59" s="5">
        <f>IFERROR(VLOOKUP(A59,[1]OIL!$A$2:$N$51,14,),0)</f>
        <v>0</v>
      </c>
      <c r="U59" s="3">
        <f t="shared" si="1"/>
        <v>30000</v>
      </c>
    </row>
    <row r="60" spans="1:21" ht="15">
      <c r="A60" s="4" t="s">
        <v>149</v>
      </c>
      <c r="B60" s="8" t="s">
        <v>29</v>
      </c>
      <c r="C60" s="8" t="s">
        <v>22</v>
      </c>
      <c r="D60" s="8" t="s">
        <v>134</v>
      </c>
      <c r="E60" s="8" t="s">
        <v>143</v>
      </c>
      <c r="F60" s="8" t="s">
        <v>150</v>
      </c>
      <c r="G60" s="9">
        <v>2</v>
      </c>
      <c r="H60" s="9">
        <v>20</v>
      </c>
      <c r="I60" s="9">
        <v>10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5">
        <v>2000</v>
      </c>
      <c r="P60" s="8">
        <v>500</v>
      </c>
      <c r="Q60" s="8">
        <v>500</v>
      </c>
      <c r="R60" s="8">
        <v>500</v>
      </c>
      <c r="S60" s="8">
        <v>500</v>
      </c>
      <c r="T60" s="5">
        <f>IFERROR(VLOOKUP(A60,[1]OIL!$A$2:$N$51,14,),0)</f>
        <v>25000</v>
      </c>
      <c r="U60" s="3">
        <f t="shared" si="1"/>
        <v>27000</v>
      </c>
    </row>
    <row r="61" spans="1:21" ht="15">
      <c r="A61" s="4" t="s">
        <v>151</v>
      </c>
      <c r="B61" s="8" t="s">
        <v>29</v>
      </c>
      <c r="C61" s="8" t="s">
        <v>22</v>
      </c>
      <c r="D61" s="8" t="s">
        <v>134</v>
      </c>
      <c r="E61" s="8" t="s">
        <v>134</v>
      </c>
      <c r="F61" s="8" t="s">
        <v>152</v>
      </c>
      <c r="G61" s="9">
        <v>3</v>
      </c>
      <c r="H61" s="9">
        <v>18</v>
      </c>
      <c r="I61" s="9">
        <v>6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f>IFERROR(VLOOKUP(A61,[1]OIL!$A$2:$N$51,14,),0)</f>
        <v>3000</v>
      </c>
      <c r="U61" s="3">
        <f t="shared" si="1"/>
        <v>3000</v>
      </c>
    </row>
    <row r="62" spans="1:21" ht="15">
      <c r="A62" s="4" t="s">
        <v>153</v>
      </c>
      <c r="B62" s="8" t="s">
        <v>29</v>
      </c>
      <c r="C62" s="8" t="s">
        <v>22</v>
      </c>
      <c r="D62" s="8" t="s">
        <v>134</v>
      </c>
      <c r="E62" s="8" t="s">
        <v>143</v>
      </c>
      <c r="F62" s="12" t="s">
        <v>154</v>
      </c>
      <c r="G62" s="15">
        <v>0.5</v>
      </c>
      <c r="H62" s="9">
        <f>I62*G62</f>
        <v>12</v>
      </c>
      <c r="I62" s="12">
        <v>24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5">
        <v>500</v>
      </c>
      <c r="P62" s="8">
        <v>125</v>
      </c>
      <c r="Q62" s="8">
        <v>125</v>
      </c>
      <c r="R62" s="8">
        <v>125</v>
      </c>
      <c r="S62" s="8">
        <v>125</v>
      </c>
      <c r="T62" s="5">
        <f>IFERROR(VLOOKUP(A62,[1]OIL!$A$2:$N$51,14,),0)</f>
        <v>0</v>
      </c>
      <c r="U62" s="3">
        <f t="shared" si="1"/>
        <v>500</v>
      </c>
    </row>
    <row r="63" spans="1:21" ht="15">
      <c r="A63" s="4" t="s">
        <v>155</v>
      </c>
      <c r="B63" s="8" t="s">
        <v>78</v>
      </c>
      <c r="C63" s="8" t="s">
        <v>22</v>
      </c>
      <c r="D63" s="8" t="s">
        <v>134</v>
      </c>
      <c r="E63" s="8" t="s">
        <v>156</v>
      </c>
      <c r="F63" s="8" t="s">
        <v>157</v>
      </c>
      <c r="G63" s="9">
        <v>1</v>
      </c>
      <c r="H63" s="9">
        <v>16</v>
      </c>
      <c r="I63" s="9">
        <v>16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f>IFERROR(VLOOKUP(A63,[1]OIL!$A$2:$N$51,14,),0)</f>
        <v>0</v>
      </c>
      <c r="U63" s="3">
        <f t="shared" si="1"/>
        <v>0</v>
      </c>
    </row>
    <row r="64" spans="1:21" ht="15">
      <c r="A64" s="4" t="s">
        <v>158</v>
      </c>
      <c r="B64" s="8" t="s">
        <v>29</v>
      </c>
      <c r="C64" s="8" t="s">
        <v>22</v>
      </c>
      <c r="D64" s="8" t="s">
        <v>159</v>
      </c>
      <c r="E64" s="8" t="s">
        <v>159</v>
      </c>
      <c r="F64" s="8" t="s">
        <v>160</v>
      </c>
      <c r="G64" s="9">
        <v>1</v>
      </c>
      <c r="H64" s="9">
        <v>16</v>
      </c>
      <c r="I64" s="9">
        <v>16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5">
        <v>12000</v>
      </c>
      <c r="P64" s="8">
        <v>3000</v>
      </c>
      <c r="Q64" s="8">
        <v>3000</v>
      </c>
      <c r="R64" s="8">
        <v>3000</v>
      </c>
      <c r="S64" s="8">
        <v>3000</v>
      </c>
      <c r="T64" s="5">
        <f>IFERROR(VLOOKUP(A64,[1]OIL!$A$2:$N$51,14,),0)</f>
        <v>10000</v>
      </c>
      <c r="U64" s="3">
        <f t="shared" si="1"/>
        <v>22000</v>
      </c>
    </row>
    <row r="65" spans="1:21" ht="15">
      <c r="A65" s="4" t="s">
        <v>161</v>
      </c>
      <c r="B65" s="8" t="s">
        <v>29</v>
      </c>
      <c r="C65" s="8" t="s">
        <v>22</v>
      </c>
      <c r="D65" s="8" t="s">
        <v>159</v>
      </c>
      <c r="E65" s="8" t="s">
        <v>159</v>
      </c>
      <c r="F65" s="8" t="s">
        <v>162</v>
      </c>
      <c r="G65" s="9">
        <v>5</v>
      </c>
      <c r="H65" s="9">
        <v>20</v>
      </c>
      <c r="I65" s="9">
        <v>4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5">
        <v>5000</v>
      </c>
      <c r="P65" s="8">
        <v>1250</v>
      </c>
      <c r="Q65" s="8">
        <v>1250</v>
      </c>
      <c r="R65" s="8">
        <v>1250</v>
      </c>
      <c r="S65" s="8">
        <v>1250</v>
      </c>
      <c r="T65" s="5">
        <f>IFERROR(VLOOKUP(A65,[1]OIL!$A$2:$N$51,14,),0)</f>
        <v>5000</v>
      </c>
      <c r="U65" s="3">
        <f t="shared" si="1"/>
        <v>10000</v>
      </c>
    </row>
    <row r="66" spans="1:21" ht="15">
      <c r="A66" s="4" t="s">
        <v>163</v>
      </c>
      <c r="B66" s="8" t="s">
        <v>29</v>
      </c>
      <c r="C66" s="8" t="s">
        <v>22</v>
      </c>
      <c r="D66" s="8" t="s">
        <v>159</v>
      </c>
      <c r="E66" s="8" t="s">
        <v>159</v>
      </c>
      <c r="F66" s="12" t="s">
        <v>164</v>
      </c>
      <c r="G66" s="15">
        <v>0.25</v>
      </c>
      <c r="H66" s="11">
        <f>I66*G66</f>
        <v>1</v>
      </c>
      <c r="I66" s="12">
        <v>4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5">
        <v>500</v>
      </c>
      <c r="P66" s="8">
        <v>125</v>
      </c>
      <c r="Q66" s="8">
        <v>125</v>
      </c>
      <c r="R66" s="8">
        <v>125</v>
      </c>
      <c r="S66" s="8">
        <v>125</v>
      </c>
      <c r="T66" s="5">
        <f>IFERROR(VLOOKUP(A66,[1]OIL!$A$2:$N$51,14,),0)</f>
        <v>0</v>
      </c>
      <c r="U66" s="3">
        <f t="shared" si="1"/>
        <v>500</v>
      </c>
    </row>
    <row r="67" spans="1:21" ht="15">
      <c r="A67" s="4" t="s">
        <v>138</v>
      </c>
      <c r="B67" s="8" t="s">
        <v>78</v>
      </c>
      <c r="C67" s="8" t="s">
        <v>22</v>
      </c>
      <c r="D67" s="8" t="s">
        <v>159</v>
      </c>
      <c r="E67" s="8" t="s">
        <v>159</v>
      </c>
      <c r="F67" s="14" t="s">
        <v>165</v>
      </c>
      <c r="G67" s="9">
        <v>1</v>
      </c>
      <c r="H67" s="9">
        <v>16</v>
      </c>
      <c r="I67" s="9">
        <v>16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f>IFERROR(VLOOKUP(A67,[1]OIL!$A$2:$N$51,14,),0)</f>
        <v>0</v>
      </c>
      <c r="U67" s="3">
        <f t="shared" si="1"/>
        <v>0</v>
      </c>
    </row>
    <row r="68" spans="1:21" ht="15">
      <c r="A68" s="4" t="s">
        <v>166</v>
      </c>
      <c r="B68" s="8" t="s">
        <v>29</v>
      </c>
      <c r="C68" s="8" t="s">
        <v>22</v>
      </c>
      <c r="D68" s="8" t="s">
        <v>159</v>
      </c>
      <c r="E68" s="8" t="s">
        <v>159</v>
      </c>
      <c r="F68" s="8" t="s">
        <v>167</v>
      </c>
      <c r="G68" s="9">
        <v>3</v>
      </c>
      <c r="H68" s="9">
        <v>18</v>
      </c>
      <c r="I68" s="9">
        <v>6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f>IFERROR(VLOOKUP(A68,[1]OIL!$A$2:$N$51,14,),0)</f>
        <v>0</v>
      </c>
      <c r="U68" s="3">
        <f t="shared" si="1"/>
        <v>0</v>
      </c>
    </row>
    <row r="69" spans="1:21" ht="15">
      <c r="A69" s="4" t="s">
        <v>168</v>
      </c>
      <c r="B69" s="8" t="s">
        <v>169</v>
      </c>
      <c r="C69" s="8" t="s">
        <v>22</v>
      </c>
      <c r="D69" s="8" t="s">
        <v>159</v>
      </c>
      <c r="E69" s="8" t="s">
        <v>170</v>
      </c>
      <c r="F69" s="8" t="s">
        <v>171</v>
      </c>
      <c r="G69" s="9">
        <v>1</v>
      </c>
      <c r="H69" s="9">
        <v>12</v>
      </c>
      <c r="I69" s="9">
        <v>16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f>IFERROR(VLOOKUP(A69,[1]OIL!$A$2:$N$51,14,),0)</f>
        <v>0</v>
      </c>
      <c r="U69" s="3">
        <f t="shared" ref="U69:U132" si="4">+T69+O69+J69</f>
        <v>0</v>
      </c>
    </row>
    <row r="70" spans="1:21" ht="15">
      <c r="A70" s="4" t="s">
        <v>172</v>
      </c>
      <c r="B70" s="8" t="s">
        <v>173</v>
      </c>
      <c r="C70" s="8" t="s">
        <v>22</v>
      </c>
      <c r="D70" s="8" t="s">
        <v>159</v>
      </c>
      <c r="E70" s="8" t="s">
        <v>174</v>
      </c>
      <c r="F70" s="12" t="s">
        <v>175</v>
      </c>
      <c r="G70" s="9">
        <v>1</v>
      </c>
      <c r="H70" s="9">
        <v>16</v>
      </c>
      <c r="I70" s="9">
        <v>16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f>IFERROR(VLOOKUP(A70,[1]OIL!$A$2:$N$51,14,),0)</f>
        <v>0</v>
      </c>
      <c r="U70" s="3">
        <f t="shared" si="4"/>
        <v>0</v>
      </c>
    </row>
    <row r="71" spans="1:21" ht="15">
      <c r="A71" s="4" t="s">
        <v>176</v>
      </c>
      <c r="B71" s="8" t="s">
        <v>177</v>
      </c>
      <c r="C71" s="8" t="s">
        <v>22</v>
      </c>
      <c r="D71" s="8" t="s">
        <v>159</v>
      </c>
      <c r="E71" s="8" t="s">
        <v>178</v>
      </c>
      <c r="F71" s="10" t="s">
        <v>179</v>
      </c>
      <c r="G71" s="9">
        <v>1</v>
      </c>
      <c r="H71" s="9">
        <v>16</v>
      </c>
      <c r="I71" s="9">
        <v>16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5">
        <v>3000</v>
      </c>
      <c r="P71" s="8">
        <v>750</v>
      </c>
      <c r="Q71" s="8">
        <v>750</v>
      </c>
      <c r="R71" s="8">
        <v>750</v>
      </c>
      <c r="S71" s="8">
        <v>750</v>
      </c>
      <c r="T71" s="5">
        <f>IFERROR(VLOOKUP(A71,[1]OIL!$A$2:$N$51,14,),0)</f>
        <v>0</v>
      </c>
      <c r="U71" s="3">
        <f t="shared" si="4"/>
        <v>3000</v>
      </c>
    </row>
    <row r="72" spans="1:21" ht="15">
      <c r="A72" s="4" t="s">
        <v>180</v>
      </c>
      <c r="B72" s="8" t="s">
        <v>29</v>
      </c>
      <c r="C72" s="8" t="s">
        <v>22</v>
      </c>
      <c r="D72" s="8" t="s">
        <v>159</v>
      </c>
      <c r="E72" s="8" t="s">
        <v>159</v>
      </c>
      <c r="F72" s="8" t="s">
        <v>181</v>
      </c>
      <c r="G72" s="9">
        <v>2</v>
      </c>
      <c r="H72" s="9">
        <v>20</v>
      </c>
      <c r="I72" s="9">
        <v>10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f>IFERROR(VLOOKUP(A72,[1]OIL!$A$2:$N$51,14,),0)</f>
        <v>2000</v>
      </c>
      <c r="U72" s="3">
        <f t="shared" si="4"/>
        <v>2000</v>
      </c>
    </row>
    <row r="73" spans="1:21" ht="15">
      <c r="A73" s="4" t="s">
        <v>182</v>
      </c>
      <c r="B73" s="8" t="s">
        <v>29</v>
      </c>
      <c r="C73" s="8" t="s">
        <v>22</v>
      </c>
      <c r="D73" s="8" t="s">
        <v>159</v>
      </c>
      <c r="E73" s="8" t="s">
        <v>159</v>
      </c>
      <c r="F73" s="12" t="s">
        <v>183</v>
      </c>
      <c r="G73" s="15">
        <v>0.5</v>
      </c>
      <c r="H73" s="9">
        <f t="shared" ref="H73:H75" si="5">I73*G73</f>
        <v>6</v>
      </c>
      <c r="I73" s="12">
        <v>12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5">
        <v>500</v>
      </c>
      <c r="P73" s="8">
        <v>125</v>
      </c>
      <c r="Q73" s="8">
        <v>125</v>
      </c>
      <c r="R73" s="8">
        <v>125</v>
      </c>
      <c r="S73" s="8">
        <v>125</v>
      </c>
      <c r="T73" s="5">
        <f>IFERROR(VLOOKUP(A73,[1]OIL!$A$2:$N$51,14,),0)</f>
        <v>0</v>
      </c>
      <c r="U73" s="3">
        <f t="shared" si="4"/>
        <v>500</v>
      </c>
    </row>
    <row r="74" spans="1:21" ht="15">
      <c r="A74" s="4" t="s">
        <v>184</v>
      </c>
      <c r="B74" s="8" t="s">
        <v>29</v>
      </c>
      <c r="C74" s="8" t="s">
        <v>22</v>
      </c>
      <c r="D74" s="8" t="s">
        <v>159</v>
      </c>
      <c r="E74" s="8" t="s">
        <v>159</v>
      </c>
      <c r="F74" s="14" t="s">
        <v>185</v>
      </c>
      <c r="G74" s="15">
        <v>0.2</v>
      </c>
      <c r="H74" s="11">
        <f t="shared" si="5"/>
        <v>4.8000000000000007</v>
      </c>
      <c r="I74" s="12">
        <v>24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f>IFERROR(VLOOKUP(A74,[1]OIL!$A$2:$N$51,14,),0)</f>
        <v>0</v>
      </c>
      <c r="U74" s="3">
        <f t="shared" si="4"/>
        <v>0</v>
      </c>
    </row>
    <row r="75" spans="1:21" ht="15">
      <c r="A75" s="4" t="s">
        <v>186</v>
      </c>
      <c r="B75" s="8" t="s">
        <v>29</v>
      </c>
      <c r="C75" s="8" t="s">
        <v>22</v>
      </c>
      <c r="D75" s="8" t="s">
        <v>159</v>
      </c>
      <c r="E75" s="8" t="s">
        <v>159</v>
      </c>
      <c r="F75" s="12" t="s">
        <v>187</v>
      </c>
      <c r="G75" s="15">
        <v>0.5</v>
      </c>
      <c r="H75" s="11">
        <f t="shared" si="5"/>
        <v>6</v>
      </c>
      <c r="I75" s="12">
        <v>12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f>IFERROR(VLOOKUP(A75,[1]OIL!$A$2:$N$51,14,),0)</f>
        <v>0</v>
      </c>
      <c r="U75" s="3">
        <f t="shared" si="4"/>
        <v>0</v>
      </c>
    </row>
    <row r="76" spans="1:21" ht="15">
      <c r="A76" s="4" t="s">
        <v>188</v>
      </c>
      <c r="B76" s="8" t="s">
        <v>29</v>
      </c>
      <c r="C76" s="8" t="s">
        <v>22</v>
      </c>
      <c r="D76" s="8" t="s">
        <v>159</v>
      </c>
      <c r="E76" s="8" t="s">
        <v>159</v>
      </c>
      <c r="F76" s="8" t="s">
        <v>189</v>
      </c>
      <c r="G76" s="11">
        <v>0.01</v>
      </c>
      <c r="H76" s="11">
        <f t="shared" ref="H76:H79" si="6">G76*I76</f>
        <v>0.01</v>
      </c>
      <c r="I76" s="8">
        <v>1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f>IFERROR(VLOOKUP(A76,[1]OIL!$A$2:$N$51,14,),0)</f>
        <v>0</v>
      </c>
      <c r="U76" s="3">
        <f t="shared" si="4"/>
        <v>0</v>
      </c>
    </row>
    <row r="77" spans="1:21" ht="15">
      <c r="A77" s="4" t="s">
        <v>190</v>
      </c>
      <c r="B77" s="8" t="s">
        <v>29</v>
      </c>
      <c r="C77" s="8" t="s">
        <v>22</v>
      </c>
      <c r="D77" s="8" t="s">
        <v>159</v>
      </c>
      <c r="E77" s="8" t="s">
        <v>159</v>
      </c>
      <c r="F77" s="8" t="s">
        <v>191</v>
      </c>
      <c r="G77" s="9">
        <v>1</v>
      </c>
      <c r="H77" s="8">
        <f t="shared" si="6"/>
        <v>12</v>
      </c>
      <c r="I77" s="8">
        <v>12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f>IFERROR(VLOOKUP(A77,[1]OIL!$A$2:$N$51,14,),0)</f>
        <v>0</v>
      </c>
      <c r="U77" s="3">
        <f t="shared" si="4"/>
        <v>0</v>
      </c>
    </row>
    <row r="78" spans="1:21" ht="15">
      <c r="A78" s="4" t="s">
        <v>192</v>
      </c>
      <c r="B78" s="8" t="s">
        <v>193</v>
      </c>
      <c r="C78" s="8" t="s">
        <v>22</v>
      </c>
      <c r="D78" s="8" t="s">
        <v>194</v>
      </c>
      <c r="E78" s="8" t="s">
        <v>194</v>
      </c>
      <c r="F78" s="12" t="s">
        <v>195</v>
      </c>
      <c r="G78" s="11">
        <v>0.5</v>
      </c>
      <c r="H78" s="9">
        <f t="shared" si="6"/>
        <v>8</v>
      </c>
      <c r="I78" s="8">
        <v>16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f>IFERROR(VLOOKUP(A78,[1]OIL!$A$2:$N$51,14,),0)</f>
        <v>0</v>
      </c>
      <c r="U78" s="3">
        <f t="shared" si="4"/>
        <v>0</v>
      </c>
    </row>
    <row r="79" spans="1:21" ht="15">
      <c r="A79" s="4" t="s">
        <v>196</v>
      </c>
      <c r="B79" s="8" t="s">
        <v>193</v>
      </c>
      <c r="C79" s="8" t="s">
        <v>22</v>
      </c>
      <c r="D79" s="8" t="s">
        <v>194</v>
      </c>
      <c r="E79" s="8" t="s">
        <v>194</v>
      </c>
      <c r="F79" s="8" t="s">
        <v>197</v>
      </c>
      <c r="G79" s="9">
        <v>1</v>
      </c>
      <c r="H79" s="9">
        <f t="shared" si="6"/>
        <v>12</v>
      </c>
      <c r="I79" s="9">
        <v>12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f>IFERROR(VLOOKUP(A79,[1]OIL!$A$2:$N$51,14,),0)</f>
        <v>0</v>
      </c>
      <c r="U79" s="3">
        <f t="shared" si="4"/>
        <v>0</v>
      </c>
    </row>
    <row r="80" spans="1:21" ht="15">
      <c r="A80" s="4" t="s">
        <v>198</v>
      </c>
      <c r="B80" s="8" t="s">
        <v>64</v>
      </c>
      <c r="C80" s="8" t="s">
        <v>22</v>
      </c>
      <c r="D80" s="8" t="s">
        <v>194</v>
      </c>
      <c r="E80" s="8" t="s">
        <v>199</v>
      </c>
      <c r="F80" s="8" t="s">
        <v>200</v>
      </c>
      <c r="G80" s="9">
        <v>1</v>
      </c>
      <c r="H80" s="9">
        <v>9</v>
      </c>
      <c r="I80" s="9">
        <v>9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f>IFERROR(VLOOKUP(A80,[1]OIL!$A$2:$N$51,14,),0)</f>
        <v>0</v>
      </c>
      <c r="U80" s="3">
        <f t="shared" si="4"/>
        <v>0</v>
      </c>
    </row>
    <row r="81" spans="1:21" ht="15">
      <c r="A81" s="4" t="s">
        <v>201</v>
      </c>
      <c r="B81" s="8" t="s">
        <v>29</v>
      </c>
      <c r="C81" s="8" t="s">
        <v>116</v>
      </c>
      <c r="D81" s="8" t="s">
        <v>202</v>
      </c>
      <c r="E81" s="8" t="s">
        <v>203</v>
      </c>
      <c r="F81" s="8" t="s">
        <v>204</v>
      </c>
      <c r="G81" s="9">
        <v>1</v>
      </c>
      <c r="H81" s="9">
        <v>20</v>
      </c>
      <c r="I81" s="9">
        <v>20</v>
      </c>
      <c r="J81" s="8">
        <v>3000</v>
      </c>
      <c r="K81" s="8">
        <v>750</v>
      </c>
      <c r="L81" s="8">
        <v>750</v>
      </c>
      <c r="M81" s="8">
        <v>750</v>
      </c>
      <c r="N81" s="8">
        <v>750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f>IFERROR(VLOOKUP(A81,[1]OIL!$A$2:$N$51,14,),0)</f>
        <v>50000</v>
      </c>
      <c r="U81" s="3">
        <f t="shared" si="4"/>
        <v>53000</v>
      </c>
    </row>
    <row r="82" spans="1:21" ht="15">
      <c r="A82" s="4" t="s">
        <v>205</v>
      </c>
      <c r="B82" s="8" t="s">
        <v>29</v>
      </c>
      <c r="C82" s="8" t="s">
        <v>116</v>
      </c>
      <c r="D82" s="8" t="s">
        <v>202</v>
      </c>
      <c r="E82" s="8" t="s">
        <v>203</v>
      </c>
      <c r="F82" s="8" t="s">
        <v>206</v>
      </c>
      <c r="G82" s="9">
        <v>5</v>
      </c>
      <c r="H82" s="9">
        <v>20</v>
      </c>
      <c r="I82" s="9">
        <v>4</v>
      </c>
      <c r="J82" s="8">
        <v>5000</v>
      </c>
      <c r="K82" s="8">
        <v>1250</v>
      </c>
      <c r="L82" s="8">
        <v>1250</v>
      </c>
      <c r="M82" s="8">
        <v>1250</v>
      </c>
      <c r="N82" s="8">
        <v>1250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f>IFERROR(VLOOKUP(A82,[1]OIL!$A$2:$N$51,14,),0)</f>
        <v>25000</v>
      </c>
      <c r="U82" s="3">
        <f t="shared" si="4"/>
        <v>30000</v>
      </c>
    </row>
    <row r="83" spans="1:21" ht="15">
      <c r="A83" s="4" t="s">
        <v>207</v>
      </c>
      <c r="B83" s="8" t="s">
        <v>29</v>
      </c>
      <c r="C83" s="8" t="s">
        <v>16</v>
      </c>
      <c r="D83" s="8" t="s">
        <v>208</v>
      </c>
      <c r="E83" s="8" t="s">
        <v>209</v>
      </c>
      <c r="F83" s="8" t="s">
        <v>210</v>
      </c>
      <c r="G83" s="9">
        <v>1</v>
      </c>
      <c r="H83" s="9">
        <v>16</v>
      </c>
      <c r="I83" s="9">
        <v>16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5">
        <v>30000</v>
      </c>
      <c r="P83" s="8">
        <v>7500</v>
      </c>
      <c r="Q83" s="8">
        <v>7500</v>
      </c>
      <c r="R83" s="8">
        <v>7500</v>
      </c>
      <c r="S83" s="8">
        <v>7500</v>
      </c>
      <c r="T83" s="5">
        <f>IFERROR(VLOOKUP(A83,[1]OIL!$A$2:$N$51,14,),0)</f>
        <v>350000</v>
      </c>
      <c r="U83" s="3">
        <f t="shared" si="4"/>
        <v>380000</v>
      </c>
    </row>
    <row r="84" spans="1:21" ht="15">
      <c r="A84" s="4" t="s">
        <v>211</v>
      </c>
      <c r="B84" s="8" t="s">
        <v>29</v>
      </c>
      <c r="C84" s="8" t="s">
        <v>16</v>
      </c>
      <c r="D84" s="8" t="s">
        <v>208</v>
      </c>
      <c r="E84" s="8" t="s">
        <v>209</v>
      </c>
      <c r="F84" s="8" t="s">
        <v>212</v>
      </c>
      <c r="G84" s="9">
        <v>5</v>
      </c>
      <c r="H84" s="9">
        <v>20</v>
      </c>
      <c r="I84" s="9">
        <v>4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5">
        <v>10000</v>
      </c>
      <c r="P84" s="8">
        <v>2500</v>
      </c>
      <c r="Q84" s="8">
        <v>2500</v>
      </c>
      <c r="R84" s="8">
        <v>2500</v>
      </c>
      <c r="S84" s="8">
        <v>2500</v>
      </c>
      <c r="T84" s="5">
        <f>IFERROR(VLOOKUP(A84,[1]OIL!$A$2:$N$51,14,),0)</f>
        <v>90000</v>
      </c>
      <c r="U84" s="3">
        <f t="shared" si="4"/>
        <v>100000</v>
      </c>
    </row>
    <row r="85" spans="1:21" ht="15">
      <c r="A85" s="4" t="s">
        <v>213</v>
      </c>
      <c r="B85" s="8" t="s">
        <v>29</v>
      </c>
      <c r="C85" s="8" t="s">
        <v>16</v>
      </c>
      <c r="D85" s="8" t="s">
        <v>208</v>
      </c>
      <c r="E85" s="8" t="s">
        <v>209</v>
      </c>
      <c r="F85" s="8" t="s">
        <v>214</v>
      </c>
      <c r="G85" s="9">
        <v>1</v>
      </c>
      <c r="H85" s="8">
        <v>16</v>
      </c>
      <c r="I85" s="8">
        <v>16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f>IFERROR(VLOOKUP(A85,[1]OIL!$A$2:$N$51,14,),0)</f>
        <v>0</v>
      </c>
      <c r="U85" s="3">
        <f t="shared" si="4"/>
        <v>0</v>
      </c>
    </row>
    <row r="86" spans="1:21" ht="15">
      <c r="A86" s="4" t="s">
        <v>215</v>
      </c>
      <c r="B86" s="8" t="s">
        <v>216</v>
      </c>
      <c r="C86" s="8" t="s">
        <v>22</v>
      </c>
      <c r="D86" s="8" t="s">
        <v>208</v>
      </c>
      <c r="E86" s="8" t="s">
        <v>217</v>
      </c>
      <c r="F86" s="8" t="s">
        <v>218</v>
      </c>
      <c r="G86" s="9">
        <v>1</v>
      </c>
      <c r="H86" s="9">
        <f t="shared" ref="H86:H87" si="7">G86*I86</f>
        <v>16</v>
      </c>
      <c r="I86" s="9">
        <v>16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f>IFERROR(VLOOKUP(A86,[1]OIL!$A$2:$N$51,14,),0)</f>
        <v>0</v>
      </c>
      <c r="U86" s="3">
        <f t="shared" si="4"/>
        <v>0</v>
      </c>
    </row>
    <row r="87" spans="1:21" ht="15">
      <c r="A87" s="4" t="s">
        <v>219</v>
      </c>
      <c r="B87" s="8" t="s">
        <v>216</v>
      </c>
      <c r="C87" s="8" t="s">
        <v>22</v>
      </c>
      <c r="D87" s="8" t="s">
        <v>208</v>
      </c>
      <c r="E87" s="8" t="s">
        <v>217</v>
      </c>
      <c r="F87" s="8" t="s">
        <v>220</v>
      </c>
      <c r="G87" s="9">
        <v>5</v>
      </c>
      <c r="H87" s="9">
        <f t="shared" si="7"/>
        <v>20</v>
      </c>
      <c r="I87" s="9">
        <v>4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f>IFERROR(VLOOKUP(A87,[1]OIL!$A$2:$N$51,14,),0)</f>
        <v>0</v>
      </c>
      <c r="U87" s="3">
        <f t="shared" si="4"/>
        <v>0</v>
      </c>
    </row>
    <row r="88" spans="1:21" ht="15">
      <c r="A88" s="4" t="s">
        <v>221</v>
      </c>
      <c r="B88" s="16" t="s">
        <v>29</v>
      </c>
      <c r="C88" s="8" t="s">
        <v>16</v>
      </c>
      <c r="D88" s="8" t="s">
        <v>208</v>
      </c>
      <c r="E88" s="8" t="s">
        <v>209</v>
      </c>
      <c r="F88" s="17" t="s">
        <v>222</v>
      </c>
      <c r="G88" s="11">
        <v>0.2</v>
      </c>
      <c r="H88" s="4">
        <v>7.2</v>
      </c>
      <c r="I88" s="4">
        <v>36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f>IFERROR(VLOOKUP(A88,[1]OIL!$A$2:$N$51,14,),0)</f>
        <v>0</v>
      </c>
      <c r="U88" s="3">
        <f t="shared" si="4"/>
        <v>0</v>
      </c>
    </row>
    <row r="89" spans="1:21" ht="15">
      <c r="A89" s="4" t="s">
        <v>223</v>
      </c>
      <c r="B89" s="16" t="s">
        <v>29</v>
      </c>
      <c r="C89" s="8" t="s">
        <v>16</v>
      </c>
      <c r="D89" s="8" t="s">
        <v>224</v>
      </c>
      <c r="E89" s="8" t="s">
        <v>225</v>
      </c>
      <c r="F89" s="8" t="s">
        <v>226</v>
      </c>
      <c r="G89" s="9">
        <v>5</v>
      </c>
      <c r="H89" s="9">
        <v>20</v>
      </c>
      <c r="I89" s="9">
        <v>4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f>IFERROR(VLOOKUP(A89,[1]OIL!$A$2:$N$51,14,),0)</f>
        <v>0</v>
      </c>
      <c r="U89" s="3">
        <f t="shared" si="4"/>
        <v>0</v>
      </c>
    </row>
    <row r="90" spans="1:21" ht="15">
      <c r="A90" s="4" t="s">
        <v>227</v>
      </c>
      <c r="B90" s="16" t="s">
        <v>29</v>
      </c>
      <c r="C90" s="8" t="s">
        <v>116</v>
      </c>
      <c r="D90" s="8" t="s">
        <v>228</v>
      </c>
      <c r="E90" s="8" t="s">
        <v>131</v>
      </c>
      <c r="F90" s="8" t="s">
        <v>229</v>
      </c>
      <c r="G90" s="9">
        <v>1</v>
      </c>
      <c r="H90" s="9">
        <v>20</v>
      </c>
      <c r="I90" s="9">
        <v>20</v>
      </c>
      <c r="J90" s="8">
        <v>20000</v>
      </c>
      <c r="K90" s="8">
        <v>5000</v>
      </c>
      <c r="L90" s="8">
        <v>5000</v>
      </c>
      <c r="M90" s="8">
        <v>5000</v>
      </c>
      <c r="N90" s="8">
        <v>5000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f>IFERROR(VLOOKUP(A90,[1]OIL!$A$2:$N$51,14,),0)</f>
        <v>0</v>
      </c>
      <c r="U90" s="3">
        <f t="shared" si="4"/>
        <v>20000</v>
      </c>
    </row>
    <row r="91" spans="1:21" ht="15">
      <c r="A91" s="4" t="s">
        <v>230</v>
      </c>
      <c r="B91" s="16" t="s">
        <v>29</v>
      </c>
      <c r="C91" s="8" t="s">
        <v>116</v>
      </c>
      <c r="D91" s="8" t="s">
        <v>228</v>
      </c>
      <c r="E91" s="8" t="s">
        <v>131</v>
      </c>
      <c r="F91" s="8" t="s">
        <v>231</v>
      </c>
      <c r="G91" s="9">
        <v>5</v>
      </c>
      <c r="H91" s="9">
        <v>20</v>
      </c>
      <c r="I91" s="9">
        <v>4</v>
      </c>
      <c r="J91" s="8">
        <v>40000</v>
      </c>
      <c r="K91" s="8">
        <v>10000</v>
      </c>
      <c r="L91" s="8">
        <v>10000</v>
      </c>
      <c r="M91" s="8">
        <v>10000</v>
      </c>
      <c r="N91" s="8">
        <v>10000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f>IFERROR(VLOOKUP(A91,[1]OIL!$A$2:$N$51,14,),0)</f>
        <v>200000</v>
      </c>
      <c r="U91" s="3">
        <f t="shared" si="4"/>
        <v>240000</v>
      </c>
    </row>
    <row r="92" spans="1:21" ht="15">
      <c r="A92" s="4" t="s">
        <v>232</v>
      </c>
      <c r="B92" s="8" t="s">
        <v>29</v>
      </c>
      <c r="C92" s="8" t="s">
        <v>116</v>
      </c>
      <c r="D92" s="8" t="s">
        <v>228</v>
      </c>
      <c r="E92" s="8" t="s">
        <v>131</v>
      </c>
      <c r="F92" s="8" t="s">
        <v>233</v>
      </c>
      <c r="G92" s="9">
        <v>1</v>
      </c>
      <c r="H92" s="9">
        <v>12</v>
      </c>
      <c r="I92" s="9">
        <v>12</v>
      </c>
      <c r="J92" s="8">
        <v>20000</v>
      </c>
      <c r="K92" s="8">
        <v>5000</v>
      </c>
      <c r="L92" s="8">
        <v>5000</v>
      </c>
      <c r="M92" s="8">
        <v>5000</v>
      </c>
      <c r="N92" s="8">
        <v>5000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f>IFERROR(VLOOKUP(A92,[1]OIL!$A$2:$N$51,14,),0)</f>
        <v>0</v>
      </c>
      <c r="U92" s="3">
        <f t="shared" si="4"/>
        <v>20000</v>
      </c>
    </row>
    <row r="93" spans="1:21" ht="15">
      <c r="A93" s="18" t="s">
        <v>234</v>
      </c>
      <c r="B93" s="18" t="s">
        <v>29</v>
      </c>
      <c r="C93" s="18" t="s">
        <v>116</v>
      </c>
      <c r="D93" s="18" t="s">
        <v>228</v>
      </c>
      <c r="E93" s="18" t="s">
        <v>131</v>
      </c>
      <c r="F93" s="8" t="s">
        <v>235</v>
      </c>
      <c r="G93" s="9">
        <v>1</v>
      </c>
      <c r="H93" s="9">
        <v>20</v>
      </c>
      <c r="I93" s="9">
        <v>20</v>
      </c>
      <c r="J93" s="8">
        <v>220000</v>
      </c>
      <c r="K93" s="8">
        <v>55000</v>
      </c>
      <c r="L93" s="8">
        <v>55000</v>
      </c>
      <c r="M93" s="8">
        <v>55000</v>
      </c>
      <c r="N93" s="8">
        <v>55000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f>IFERROR(VLOOKUP(A93,[1]OIL!$A$2:$N$51,14,),0)</f>
        <v>470000</v>
      </c>
      <c r="U93" s="3">
        <f t="shared" si="4"/>
        <v>690000</v>
      </c>
    </row>
    <row r="94" spans="1:21" ht="15">
      <c r="A94" s="4" t="s">
        <v>236</v>
      </c>
      <c r="B94" s="8" t="s">
        <v>29</v>
      </c>
      <c r="C94" s="8" t="s">
        <v>116</v>
      </c>
      <c r="D94" s="8" t="s">
        <v>228</v>
      </c>
      <c r="E94" s="18" t="s">
        <v>131</v>
      </c>
      <c r="F94" s="8" t="s">
        <v>237</v>
      </c>
      <c r="G94" s="11">
        <v>16.48</v>
      </c>
      <c r="H94" s="11">
        <f>G94</f>
        <v>16.48</v>
      </c>
      <c r="I94" s="8">
        <v>1</v>
      </c>
      <c r="J94" s="8">
        <v>35000</v>
      </c>
      <c r="K94" s="8">
        <v>8750</v>
      </c>
      <c r="L94" s="8">
        <v>8750</v>
      </c>
      <c r="M94" s="8">
        <v>8750</v>
      </c>
      <c r="N94" s="8">
        <v>8750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f>IFERROR(VLOOKUP(A94,[1]OIL!$A$2:$N$51,14,),0)</f>
        <v>0</v>
      </c>
      <c r="U94" s="3">
        <f t="shared" si="4"/>
        <v>35000</v>
      </c>
    </row>
    <row r="95" spans="1:21" ht="15">
      <c r="A95" s="4" t="s">
        <v>238</v>
      </c>
      <c r="B95" s="8" t="s">
        <v>29</v>
      </c>
      <c r="C95" s="8" t="s">
        <v>116</v>
      </c>
      <c r="D95" s="8" t="s">
        <v>228</v>
      </c>
      <c r="E95" s="8" t="s">
        <v>239</v>
      </c>
      <c r="F95" s="8" t="s">
        <v>240</v>
      </c>
      <c r="G95" s="9">
        <v>1</v>
      </c>
      <c r="H95" s="9">
        <v>20</v>
      </c>
      <c r="I95" s="9">
        <v>20</v>
      </c>
      <c r="J95" s="8">
        <v>40000</v>
      </c>
      <c r="K95" s="8">
        <v>10000</v>
      </c>
      <c r="L95" s="8">
        <v>10000</v>
      </c>
      <c r="M95" s="8">
        <v>10000</v>
      </c>
      <c r="N95" s="8">
        <v>10000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f>IFERROR(VLOOKUP(A95,[1]OIL!$A$2:$N$51,14,),0)</f>
        <v>0</v>
      </c>
      <c r="U95" s="3">
        <f t="shared" si="4"/>
        <v>40000</v>
      </c>
    </row>
    <row r="96" spans="1:21" ht="15">
      <c r="A96" s="4" t="s">
        <v>241</v>
      </c>
      <c r="B96" s="8" t="s">
        <v>29</v>
      </c>
      <c r="C96" s="18" t="s">
        <v>116</v>
      </c>
      <c r="D96" s="18" t="s">
        <v>228</v>
      </c>
      <c r="E96" s="18" t="s">
        <v>131</v>
      </c>
      <c r="F96" s="19" t="s">
        <v>242</v>
      </c>
      <c r="G96" s="20">
        <v>1</v>
      </c>
      <c r="H96" s="20">
        <v>20</v>
      </c>
      <c r="I96" s="20">
        <v>20</v>
      </c>
      <c r="J96" s="8">
        <v>60000</v>
      </c>
      <c r="K96" s="8">
        <v>15000</v>
      </c>
      <c r="L96" s="8">
        <v>15000</v>
      </c>
      <c r="M96" s="8">
        <v>15000</v>
      </c>
      <c r="N96" s="8">
        <v>15000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f>IFERROR(VLOOKUP(A96,[1]OIL!$A$2:$N$51,14,),0)</f>
        <v>0</v>
      </c>
      <c r="U96" s="3">
        <f t="shared" si="4"/>
        <v>60000</v>
      </c>
    </row>
    <row r="97" spans="1:21" ht="15">
      <c r="A97" s="4" t="s">
        <v>243</v>
      </c>
      <c r="B97" s="8" t="s">
        <v>29</v>
      </c>
      <c r="C97" s="8" t="s">
        <v>116</v>
      </c>
      <c r="D97" s="8" t="s">
        <v>228</v>
      </c>
      <c r="E97" s="8" t="s">
        <v>131</v>
      </c>
      <c r="F97" s="8" t="s">
        <v>244</v>
      </c>
      <c r="G97" s="11">
        <v>15</v>
      </c>
      <c r="H97" s="9">
        <f>G97</f>
        <v>15</v>
      </c>
      <c r="I97" s="8">
        <v>1</v>
      </c>
      <c r="J97" s="8">
        <v>9000</v>
      </c>
      <c r="K97" s="8">
        <v>2250</v>
      </c>
      <c r="L97" s="8">
        <v>2250</v>
      </c>
      <c r="M97" s="8">
        <v>2250</v>
      </c>
      <c r="N97" s="8">
        <v>2250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f>IFERROR(VLOOKUP(A97,[1]OIL!$A$2:$N$51,14,),0)</f>
        <v>0</v>
      </c>
      <c r="U97" s="3">
        <f t="shared" si="4"/>
        <v>9000</v>
      </c>
    </row>
    <row r="98" spans="1:21" ht="15">
      <c r="A98" s="4" t="s">
        <v>245</v>
      </c>
      <c r="B98" s="8" t="s">
        <v>29</v>
      </c>
      <c r="C98" s="8" t="s">
        <v>116</v>
      </c>
      <c r="D98" s="8" t="s">
        <v>228</v>
      </c>
      <c r="E98" s="8" t="s">
        <v>239</v>
      </c>
      <c r="F98" s="8" t="s">
        <v>246</v>
      </c>
      <c r="G98" s="9">
        <v>5</v>
      </c>
      <c r="H98" s="9">
        <v>20</v>
      </c>
      <c r="I98" s="9">
        <v>4</v>
      </c>
      <c r="J98" s="8">
        <v>15000</v>
      </c>
      <c r="K98" s="8">
        <v>3750</v>
      </c>
      <c r="L98" s="8">
        <v>3750</v>
      </c>
      <c r="M98" s="8">
        <v>3750</v>
      </c>
      <c r="N98" s="8">
        <v>3750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f>IFERROR(VLOOKUP(A98,[1]OIL!$A$2:$N$51,14,),0)</f>
        <v>0</v>
      </c>
      <c r="U98" s="3">
        <f t="shared" si="4"/>
        <v>15000</v>
      </c>
    </row>
    <row r="99" spans="1:21" ht="15">
      <c r="A99" s="4" t="s">
        <v>247</v>
      </c>
      <c r="B99" s="8" t="s">
        <v>29</v>
      </c>
      <c r="C99" s="8" t="s">
        <v>116</v>
      </c>
      <c r="D99" s="8" t="s">
        <v>228</v>
      </c>
      <c r="E99" s="8" t="s">
        <v>131</v>
      </c>
      <c r="F99" s="8" t="s">
        <v>248</v>
      </c>
      <c r="G99" s="9">
        <v>4</v>
      </c>
      <c r="H99" s="9">
        <v>20</v>
      </c>
      <c r="I99" s="9">
        <v>5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f>IFERROR(VLOOKUP(A99,[1]OIL!$A$2:$N$51,14,),0)</f>
        <v>0</v>
      </c>
      <c r="U99" s="3">
        <f t="shared" si="4"/>
        <v>0</v>
      </c>
    </row>
    <row r="100" spans="1:21" ht="15">
      <c r="A100" s="4" t="s">
        <v>249</v>
      </c>
      <c r="B100" s="8" t="s">
        <v>64</v>
      </c>
      <c r="C100" s="8" t="s">
        <v>116</v>
      </c>
      <c r="D100" s="8" t="s">
        <v>228</v>
      </c>
      <c r="E100" s="8" t="s">
        <v>250</v>
      </c>
      <c r="F100" s="8" t="s">
        <v>251</v>
      </c>
      <c r="G100" s="9">
        <v>2</v>
      </c>
      <c r="H100" s="9">
        <v>20</v>
      </c>
      <c r="I100" s="9">
        <v>10</v>
      </c>
      <c r="J100" s="8">
        <v>4000</v>
      </c>
      <c r="K100" s="8">
        <v>1000</v>
      </c>
      <c r="L100" s="8">
        <v>1000</v>
      </c>
      <c r="M100" s="8">
        <v>1000</v>
      </c>
      <c r="N100" s="8">
        <v>1000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f>IFERROR(VLOOKUP(A100,[1]OIL!$A$2:$N$51,14,),0)</f>
        <v>0</v>
      </c>
      <c r="U100" s="3">
        <f t="shared" si="4"/>
        <v>4000</v>
      </c>
    </row>
    <row r="101" spans="1:21" ht="15">
      <c r="A101" s="4" t="s">
        <v>252</v>
      </c>
      <c r="B101" s="8" t="s">
        <v>29</v>
      </c>
      <c r="C101" s="8" t="s">
        <v>16</v>
      </c>
      <c r="D101" s="8" t="s">
        <v>228</v>
      </c>
      <c r="E101" s="8" t="s">
        <v>253</v>
      </c>
      <c r="F101" s="8" t="s">
        <v>254</v>
      </c>
      <c r="G101" s="9">
        <v>1</v>
      </c>
      <c r="H101" s="8">
        <v>20</v>
      </c>
      <c r="I101" s="8">
        <v>20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f>IFERROR(VLOOKUP(A101,[1]OIL!$A$2:$N$51,14,),0)</f>
        <v>0</v>
      </c>
      <c r="U101" s="3">
        <f t="shared" si="4"/>
        <v>0</v>
      </c>
    </row>
    <row r="102" spans="1:21" ht="15">
      <c r="A102" s="4" t="s">
        <v>255</v>
      </c>
      <c r="B102" s="8" t="s">
        <v>29</v>
      </c>
      <c r="C102" s="8" t="s">
        <v>116</v>
      </c>
      <c r="D102" s="8" t="s">
        <v>228</v>
      </c>
      <c r="E102" s="8" t="s">
        <v>131</v>
      </c>
      <c r="F102" s="8" t="s">
        <v>256</v>
      </c>
      <c r="G102" s="9">
        <v>3</v>
      </c>
      <c r="H102" s="9">
        <v>18</v>
      </c>
      <c r="I102" s="9">
        <v>6</v>
      </c>
      <c r="J102" s="8">
        <v>3000</v>
      </c>
      <c r="K102" s="8">
        <v>750</v>
      </c>
      <c r="L102" s="8">
        <v>750</v>
      </c>
      <c r="M102" s="8">
        <v>750</v>
      </c>
      <c r="N102" s="8">
        <v>750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f>IFERROR(VLOOKUP(A102,[1]OIL!$A$2:$N$51,14,),0)</f>
        <v>0</v>
      </c>
      <c r="U102" s="3">
        <f t="shared" si="4"/>
        <v>3000</v>
      </c>
    </row>
    <row r="103" spans="1:21" ht="15">
      <c r="A103" s="4" t="s">
        <v>257</v>
      </c>
      <c r="B103" s="8" t="s">
        <v>216</v>
      </c>
      <c r="C103" s="8" t="s">
        <v>116</v>
      </c>
      <c r="D103" s="8" t="s">
        <v>228</v>
      </c>
      <c r="E103" s="8" t="s">
        <v>258</v>
      </c>
      <c r="F103" s="8" t="s">
        <v>259</v>
      </c>
      <c r="G103" s="9">
        <v>5</v>
      </c>
      <c r="H103" s="9">
        <f t="shared" ref="H103:H104" si="8">G103*I103</f>
        <v>20</v>
      </c>
      <c r="I103" s="9">
        <v>4</v>
      </c>
      <c r="J103" s="8">
        <v>2500</v>
      </c>
      <c r="K103" s="8">
        <v>625</v>
      </c>
      <c r="L103" s="8">
        <v>625</v>
      </c>
      <c r="M103" s="8">
        <v>625</v>
      </c>
      <c r="N103" s="8">
        <v>625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f>IFERROR(VLOOKUP(A103,[1]OIL!$A$2:$N$51,14,),0)</f>
        <v>0</v>
      </c>
      <c r="U103" s="3">
        <f t="shared" si="4"/>
        <v>2500</v>
      </c>
    </row>
    <row r="104" spans="1:21" ht="15">
      <c r="A104" s="4" t="s">
        <v>260</v>
      </c>
      <c r="B104" s="8" t="s">
        <v>216</v>
      </c>
      <c r="C104" s="8" t="s">
        <v>116</v>
      </c>
      <c r="D104" s="8" t="s">
        <v>228</v>
      </c>
      <c r="E104" s="8" t="s">
        <v>258</v>
      </c>
      <c r="F104" s="8" t="s">
        <v>261</v>
      </c>
      <c r="G104" s="9">
        <v>1</v>
      </c>
      <c r="H104" s="9">
        <f t="shared" si="8"/>
        <v>16</v>
      </c>
      <c r="I104" s="9">
        <v>16</v>
      </c>
      <c r="J104" s="8">
        <v>1000</v>
      </c>
      <c r="K104" s="8">
        <v>250</v>
      </c>
      <c r="L104" s="8">
        <v>250</v>
      </c>
      <c r="M104" s="8">
        <v>250</v>
      </c>
      <c r="N104" s="8">
        <v>250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f>IFERROR(VLOOKUP(A104,[1]OIL!$A$2:$N$51,14,),0)</f>
        <v>0</v>
      </c>
      <c r="U104" s="3">
        <f t="shared" si="4"/>
        <v>1000</v>
      </c>
    </row>
    <row r="105" spans="1:21" ht="15">
      <c r="A105" s="4" t="s">
        <v>262</v>
      </c>
      <c r="B105" s="8" t="s">
        <v>78</v>
      </c>
      <c r="C105" s="8" t="s">
        <v>116</v>
      </c>
      <c r="D105" s="8" t="s">
        <v>228</v>
      </c>
      <c r="E105" s="8" t="s">
        <v>263</v>
      </c>
      <c r="F105" s="8" t="s">
        <v>264</v>
      </c>
      <c r="G105" s="9">
        <v>1</v>
      </c>
      <c r="H105" s="9">
        <v>20</v>
      </c>
      <c r="I105" s="9">
        <v>20</v>
      </c>
      <c r="J105" s="8">
        <v>110000</v>
      </c>
      <c r="K105" s="8">
        <v>27500</v>
      </c>
      <c r="L105" s="8">
        <v>27500</v>
      </c>
      <c r="M105" s="8">
        <v>27500</v>
      </c>
      <c r="N105" s="8">
        <v>27500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f>IFERROR(VLOOKUP(A105,[1]OIL!$A$2:$N$51,14,),0)</f>
        <v>15000</v>
      </c>
      <c r="U105" s="3">
        <f t="shared" si="4"/>
        <v>125000</v>
      </c>
    </row>
    <row r="106" spans="1:21" ht="15">
      <c r="A106" s="4" t="s">
        <v>265</v>
      </c>
      <c r="B106" s="8" t="s">
        <v>78</v>
      </c>
      <c r="C106" s="8" t="s">
        <v>116</v>
      </c>
      <c r="D106" s="8" t="s">
        <v>228</v>
      </c>
      <c r="E106" s="8" t="s">
        <v>263</v>
      </c>
      <c r="F106" s="8" t="s">
        <v>266</v>
      </c>
      <c r="G106" s="9">
        <v>5</v>
      </c>
      <c r="H106" s="9">
        <v>20</v>
      </c>
      <c r="I106" s="9">
        <v>4</v>
      </c>
      <c r="J106" s="8">
        <v>2000</v>
      </c>
      <c r="K106" s="8">
        <v>500</v>
      </c>
      <c r="L106" s="8">
        <v>500</v>
      </c>
      <c r="M106" s="8">
        <v>500</v>
      </c>
      <c r="N106" s="8">
        <v>500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f>IFERROR(VLOOKUP(A106,[1]OIL!$A$2:$N$51,14,),0)</f>
        <v>0</v>
      </c>
      <c r="U106" s="3">
        <f t="shared" si="4"/>
        <v>2000</v>
      </c>
    </row>
    <row r="107" spans="1:21" ht="15">
      <c r="A107" s="4" t="s">
        <v>267</v>
      </c>
      <c r="B107" s="8" t="s">
        <v>216</v>
      </c>
      <c r="C107" s="8" t="s">
        <v>116</v>
      </c>
      <c r="D107" s="8" t="s">
        <v>228</v>
      </c>
      <c r="E107" s="8" t="s">
        <v>258</v>
      </c>
      <c r="F107" s="8" t="s">
        <v>268</v>
      </c>
      <c r="G107" s="9">
        <v>2</v>
      </c>
      <c r="H107" s="9">
        <f>G107*I107</f>
        <v>16</v>
      </c>
      <c r="I107" s="9">
        <v>8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f>IFERROR(VLOOKUP(A107,[1]OIL!$A$2:$N$51,14,),0)</f>
        <v>0</v>
      </c>
      <c r="U107" s="3">
        <f t="shared" si="4"/>
        <v>0</v>
      </c>
    </row>
    <row r="108" spans="1:21" ht="15">
      <c r="A108" s="4" t="s">
        <v>269</v>
      </c>
      <c r="B108" s="8" t="s">
        <v>29</v>
      </c>
      <c r="C108" s="8" t="s">
        <v>116</v>
      </c>
      <c r="D108" s="8" t="s">
        <v>228</v>
      </c>
      <c r="E108" s="8" t="s">
        <v>131</v>
      </c>
      <c r="F108" s="8" t="s">
        <v>270</v>
      </c>
      <c r="G108" s="9">
        <v>2</v>
      </c>
      <c r="H108" s="9">
        <v>20</v>
      </c>
      <c r="I108" s="9">
        <v>10</v>
      </c>
      <c r="J108" s="8">
        <v>40000</v>
      </c>
      <c r="K108" s="8">
        <v>10000</v>
      </c>
      <c r="L108" s="8">
        <v>10000</v>
      </c>
      <c r="M108" s="8">
        <v>10000</v>
      </c>
      <c r="N108" s="8">
        <v>10000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f>IFERROR(VLOOKUP(A108,[1]OIL!$A$2:$N$51,14,),0)</f>
        <v>0</v>
      </c>
      <c r="U108" s="3">
        <f t="shared" si="4"/>
        <v>40000</v>
      </c>
    </row>
    <row r="109" spans="1:21" ht="15">
      <c r="A109" s="4" t="s">
        <v>271</v>
      </c>
      <c r="B109" s="8" t="s">
        <v>78</v>
      </c>
      <c r="C109" s="8" t="s">
        <v>116</v>
      </c>
      <c r="D109" s="8" t="s">
        <v>228</v>
      </c>
      <c r="E109" s="8" t="s">
        <v>263</v>
      </c>
      <c r="F109" s="12" t="s">
        <v>272</v>
      </c>
      <c r="G109" s="15">
        <v>0.95499999999999996</v>
      </c>
      <c r="H109" s="11">
        <f>I109*G109</f>
        <v>19.099999999999998</v>
      </c>
      <c r="I109" s="12">
        <v>20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f>IFERROR(VLOOKUP(A109,[1]OIL!$A$2:$N$51,14,),0)</f>
        <v>0</v>
      </c>
      <c r="U109" s="3">
        <f t="shared" si="4"/>
        <v>0</v>
      </c>
    </row>
    <row r="110" spans="1:21" ht="15">
      <c r="A110" s="4" t="s">
        <v>273</v>
      </c>
      <c r="B110" s="8" t="s">
        <v>29</v>
      </c>
      <c r="C110" s="8" t="s">
        <v>116</v>
      </c>
      <c r="D110" s="8" t="s">
        <v>228</v>
      </c>
      <c r="E110" s="8" t="s">
        <v>239</v>
      </c>
      <c r="F110" s="8" t="s">
        <v>274</v>
      </c>
      <c r="G110" s="9">
        <v>2</v>
      </c>
      <c r="H110" s="9">
        <v>20</v>
      </c>
      <c r="I110" s="9">
        <v>10</v>
      </c>
      <c r="J110" s="8">
        <v>30000</v>
      </c>
      <c r="K110" s="8">
        <v>7500</v>
      </c>
      <c r="L110" s="8">
        <v>7500</v>
      </c>
      <c r="M110" s="8">
        <v>7500</v>
      </c>
      <c r="N110" s="8">
        <v>7500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f>IFERROR(VLOOKUP(A110,[1]OIL!$A$2:$N$51,14,),0)</f>
        <v>0</v>
      </c>
      <c r="U110" s="3">
        <f t="shared" si="4"/>
        <v>30000</v>
      </c>
    </row>
    <row r="111" spans="1:21" ht="15">
      <c r="A111" s="4" t="s">
        <v>275</v>
      </c>
      <c r="B111" s="8" t="s">
        <v>15</v>
      </c>
      <c r="C111" s="8" t="s">
        <v>116</v>
      </c>
      <c r="D111" s="8" t="s">
        <v>276</v>
      </c>
      <c r="E111" s="8" t="s">
        <v>18</v>
      </c>
      <c r="F111" s="8" t="s">
        <v>27</v>
      </c>
      <c r="G111" s="9">
        <v>5</v>
      </c>
      <c r="H111" s="9">
        <v>20</v>
      </c>
      <c r="I111" s="9">
        <v>4</v>
      </c>
      <c r="J111" s="8">
        <v>2000</v>
      </c>
      <c r="K111" s="8">
        <v>500</v>
      </c>
      <c r="L111" s="8">
        <v>500</v>
      </c>
      <c r="M111" s="8">
        <v>500</v>
      </c>
      <c r="N111" s="8">
        <v>500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f>IFERROR(VLOOKUP(A111,[1]OIL!$A$2:$N$51,14,),0)</f>
        <v>15000</v>
      </c>
      <c r="U111" s="3">
        <f t="shared" si="4"/>
        <v>17000</v>
      </c>
    </row>
    <row r="112" spans="1:21" ht="15">
      <c r="A112" s="4" t="s">
        <v>277</v>
      </c>
      <c r="B112" s="8" t="s">
        <v>29</v>
      </c>
      <c r="C112" s="8" t="s">
        <v>16</v>
      </c>
      <c r="D112" s="8" t="s">
        <v>278</v>
      </c>
      <c r="E112" s="8" t="s">
        <v>279</v>
      </c>
      <c r="F112" s="12" t="s">
        <v>280</v>
      </c>
      <c r="G112" s="15">
        <v>0.25</v>
      </c>
      <c r="H112" s="11">
        <f>I112*G112</f>
        <v>1</v>
      </c>
      <c r="I112" s="12">
        <v>4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f>IFERROR(VLOOKUP(A112,[1]OIL!$A$2:$N$51,14,),0)</f>
        <v>0</v>
      </c>
      <c r="U112" s="3">
        <f t="shared" si="4"/>
        <v>0</v>
      </c>
    </row>
    <row r="113" spans="1:21" ht="15">
      <c r="A113" s="4" t="s">
        <v>281</v>
      </c>
      <c r="B113" s="8" t="s">
        <v>29</v>
      </c>
      <c r="C113" s="8" t="s">
        <v>22</v>
      </c>
      <c r="D113" s="8" t="s">
        <v>282</v>
      </c>
      <c r="E113" s="8" t="s">
        <v>283</v>
      </c>
      <c r="F113" s="8" t="s">
        <v>284</v>
      </c>
      <c r="G113" s="9">
        <v>5</v>
      </c>
      <c r="H113" s="9">
        <v>20</v>
      </c>
      <c r="I113" s="9">
        <v>4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5">
        <v>85000</v>
      </c>
      <c r="P113" s="8">
        <v>21250</v>
      </c>
      <c r="Q113" s="8">
        <v>21250</v>
      </c>
      <c r="R113" s="8">
        <v>21250</v>
      </c>
      <c r="S113" s="8">
        <v>21250</v>
      </c>
      <c r="T113" s="5">
        <f>IFERROR(VLOOKUP(A113,[1]OIL!$A$2:$N$51,14,),0)</f>
        <v>70000</v>
      </c>
      <c r="U113" s="3">
        <f t="shared" si="4"/>
        <v>155000</v>
      </c>
    </row>
    <row r="114" spans="1:21" ht="15">
      <c r="A114" s="4" t="s">
        <v>285</v>
      </c>
      <c r="B114" s="8" t="s">
        <v>29</v>
      </c>
      <c r="C114" s="8" t="s">
        <v>22</v>
      </c>
      <c r="D114" s="8" t="s">
        <v>282</v>
      </c>
      <c r="E114" s="8" t="s">
        <v>283</v>
      </c>
      <c r="F114" s="8" t="s">
        <v>286</v>
      </c>
      <c r="G114" s="9">
        <v>1</v>
      </c>
      <c r="H114" s="9">
        <v>16</v>
      </c>
      <c r="I114" s="9">
        <v>16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5">
        <v>80000</v>
      </c>
      <c r="P114" s="8">
        <v>20000</v>
      </c>
      <c r="Q114" s="8">
        <v>20000</v>
      </c>
      <c r="R114" s="8">
        <v>20000</v>
      </c>
      <c r="S114" s="8">
        <v>20000</v>
      </c>
      <c r="T114" s="5">
        <f>IFERROR(VLOOKUP(A114,[1]OIL!$A$2:$N$51,14,),0)</f>
        <v>80000</v>
      </c>
      <c r="U114" s="3">
        <f t="shared" si="4"/>
        <v>160000</v>
      </c>
    </row>
    <row r="115" spans="1:21" ht="15">
      <c r="A115" s="4" t="s">
        <v>287</v>
      </c>
      <c r="B115" s="8" t="s">
        <v>78</v>
      </c>
      <c r="C115" s="8" t="s">
        <v>22</v>
      </c>
      <c r="D115" s="8" t="s">
        <v>282</v>
      </c>
      <c r="E115" s="8" t="s">
        <v>288</v>
      </c>
      <c r="F115" s="8" t="s">
        <v>289</v>
      </c>
      <c r="G115" s="9">
        <v>5</v>
      </c>
      <c r="H115" s="9">
        <v>20</v>
      </c>
      <c r="I115" s="9">
        <v>4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5">
        <v>35000</v>
      </c>
      <c r="P115" s="8">
        <v>8750</v>
      </c>
      <c r="Q115" s="8">
        <v>8750</v>
      </c>
      <c r="R115" s="8">
        <v>8750</v>
      </c>
      <c r="S115" s="8">
        <v>8750</v>
      </c>
      <c r="T115" s="5">
        <f>IFERROR(VLOOKUP(A115,[1]OIL!$A$2:$N$51,14,),0)</f>
        <v>25000</v>
      </c>
      <c r="U115" s="3">
        <f t="shared" si="4"/>
        <v>60000</v>
      </c>
    </row>
    <row r="116" spans="1:21" ht="15">
      <c r="A116" s="4" t="s">
        <v>290</v>
      </c>
      <c r="B116" s="8" t="s">
        <v>78</v>
      </c>
      <c r="C116" s="8" t="s">
        <v>22</v>
      </c>
      <c r="D116" s="8" t="s">
        <v>282</v>
      </c>
      <c r="E116" s="8" t="s">
        <v>288</v>
      </c>
      <c r="F116" s="8" t="s">
        <v>291</v>
      </c>
      <c r="G116" s="9">
        <v>1</v>
      </c>
      <c r="H116" s="9">
        <v>16</v>
      </c>
      <c r="I116" s="9">
        <v>16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5">
        <v>30000</v>
      </c>
      <c r="P116" s="8">
        <v>7500</v>
      </c>
      <c r="Q116" s="8">
        <v>7500</v>
      </c>
      <c r="R116" s="8">
        <v>7500</v>
      </c>
      <c r="S116" s="8">
        <v>7500</v>
      </c>
      <c r="T116" s="5">
        <f>IFERROR(VLOOKUP(A116,[1]OIL!$A$2:$N$51,14,),0)</f>
        <v>30000</v>
      </c>
      <c r="U116" s="3">
        <f t="shared" si="4"/>
        <v>60000</v>
      </c>
    </row>
    <row r="117" spans="1:21" ht="15.75">
      <c r="A117" s="21" t="s">
        <v>292</v>
      </c>
      <c r="B117" s="8" t="s">
        <v>78</v>
      </c>
      <c r="C117" s="8" t="s">
        <v>22</v>
      </c>
      <c r="D117" s="8" t="s">
        <v>282</v>
      </c>
      <c r="E117" s="8" t="s">
        <v>288</v>
      </c>
      <c r="F117" s="21" t="s">
        <v>293</v>
      </c>
      <c r="G117" s="9">
        <v>15</v>
      </c>
      <c r="H117" s="9">
        <v>15</v>
      </c>
      <c r="I117" s="8">
        <v>1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5">
        <v>5000</v>
      </c>
      <c r="P117" s="8">
        <v>1250</v>
      </c>
      <c r="Q117" s="8">
        <v>1250</v>
      </c>
      <c r="R117" s="8">
        <v>1250</v>
      </c>
      <c r="S117" s="8">
        <v>1250</v>
      </c>
      <c r="T117" s="5">
        <f>IFERROR(VLOOKUP(A117,[1]OIL!$A$2:$N$51,14,),0)</f>
        <v>0</v>
      </c>
      <c r="U117" s="3">
        <f t="shared" si="4"/>
        <v>5000</v>
      </c>
    </row>
    <row r="118" spans="1:21" ht="15">
      <c r="A118" s="4" t="s">
        <v>294</v>
      </c>
      <c r="B118" s="8" t="s">
        <v>177</v>
      </c>
      <c r="C118" s="8" t="s">
        <v>22</v>
      </c>
      <c r="D118" s="8" t="s">
        <v>282</v>
      </c>
      <c r="E118" s="8" t="s">
        <v>295</v>
      </c>
      <c r="F118" s="8" t="s">
        <v>296</v>
      </c>
      <c r="G118" s="9">
        <v>1</v>
      </c>
      <c r="H118" s="9">
        <f>G118*I118</f>
        <v>16</v>
      </c>
      <c r="I118" s="9">
        <v>16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5">
        <v>8000</v>
      </c>
      <c r="P118" s="8">
        <v>2000</v>
      </c>
      <c r="Q118" s="8">
        <v>2000</v>
      </c>
      <c r="R118" s="8">
        <v>2000</v>
      </c>
      <c r="S118" s="8">
        <v>2000</v>
      </c>
      <c r="T118" s="5">
        <f>IFERROR(VLOOKUP(A118,[1]OIL!$A$2:$N$51,14,),0)</f>
        <v>0</v>
      </c>
      <c r="U118" s="3">
        <f t="shared" si="4"/>
        <v>8000</v>
      </c>
    </row>
    <row r="119" spans="1:21" ht="15">
      <c r="A119" s="4" t="s">
        <v>297</v>
      </c>
      <c r="B119" s="8" t="s">
        <v>78</v>
      </c>
      <c r="C119" s="8" t="s">
        <v>22</v>
      </c>
      <c r="D119" s="8" t="s">
        <v>282</v>
      </c>
      <c r="E119" s="8" t="s">
        <v>283</v>
      </c>
      <c r="F119" s="14" t="s">
        <v>298</v>
      </c>
      <c r="G119" s="8">
        <v>200</v>
      </c>
      <c r="H119" s="8">
        <v>200</v>
      </c>
      <c r="I119" s="8">
        <v>1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5">
        <v>5000</v>
      </c>
      <c r="P119" s="8">
        <v>1250</v>
      </c>
      <c r="Q119" s="8">
        <v>1250</v>
      </c>
      <c r="R119" s="8">
        <v>1250</v>
      </c>
      <c r="S119" s="8">
        <v>1250</v>
      </c>
      <c r="T119" s="5">
        <f>IFERROR(VLOOKUP(A119,[1]OIL!$A$2:$N$51,14,),0)</f>
        <v>0</v>
      </c>
      <c r="U119" s="3">
        <f t="shared" si="4"/>
        <v>5000</v>
      </c>
    </row>
    <row r="120" spans="1:21" ht="15">
      <c r="A120" s="4" t="s">
        <v>299</v>
      </c>
      <c r="B120" s="8" t="s">
        <v>29</v>
      </c>
      <c r="C120" s="8" t="s">
        <v>22</v>
      </c>
      <c r="D120" s="8" t="s">
        <v>282</v>
      </c>
      <c r="E120" s="8" t="s">
        <v>283</v>
      </c>
      <c r="F120" s="8" t="s">
        <v>300</v>
      </c>
      <c r="G120" s="9">
        <v>2</v>
      </c>
      <c r="H120" s="9">
        <v>20</v>
      </c>
      <c r="I120" s="9">
        <v>10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f>IFERROR(VLOOKUP(A120,[1]OIL!$A$2:$N$51,14,),0)</f>
        <v>8000</v>
      </c>
      <c r="U120" s="3">
        <f t="shared" si="4"/>
        <v>8000</v>
      </c>
    </row>
    <row r="121" spans="1:21" ht="15">
      <c r="A121" s="4" t="s">
        <v>301</v>
      </c>
      <c r="B121" s="8" t="s">
        <v>64</v>
      </c>
      <c r="C121" s="8" t="s">
        <v>22</v>
      </c>
      <c r="D121" s="8" t="s">
        <v>282</v>
      </c>
      <c r="E121" s="8" t="s">
        <v>302</v>
      </c>
      <c r="F121" s="8" t="s">
        <v>303</v>
      </c>
      <c r="G121" s="9">
        <v>2</v>
      </c>
      <c r="H121" s="9">
        <v>20</v>
      </c>
      <c r="I121" s="9">
        <v>10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f>IFERROR(VLOOKUP(A121,[1]OIL!$A$2:$N$51,14,),0)</f>
        <v>0</v>
      </c>
      <c r="U121" s="3">
        <f t="shared" si="4"/>
        <v>0</v>
      </c>
    </row>
    <row r="122" spans="1:21" ht="15">
      <c r="A122" s="4" t="s">
        <v>304</v>
      </c>
      <c r="B122" s="8" t="s">
        <v>29</v>
      </c>
      <c r="C122" s="8" t="s">
        <v>22</v>
      </c>
      <c r="D122" s="8" t="s">
        <v>282</v>
      </c>
      <c r="E122" s="8" t="s">
        <v>283</v>
      </c>
      <c r="F122" s="8" t="s">
        <v>305</v>
      </c>
      <c r="G122" s="9">
        <v>3</v>
      </c>
      <c r="H122" s="9">
        <v>18</v>
      </c>
      <c r="I122" s="9">
        <v>6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f>IFERROR(VLOOKUP(A122,[1]OIL!$A$2:$N$51,14,),0)</f>
        <v>6000</v>
      </c>
      <c r="U122" s="3">
        <f t="shared" si="4"/>
        <v>6000</v>
      </c>
    </row>
    <row r="123" spans="1:21" ht="15">
      <c r="A123" s="4" t="s">
        <v>306</v>
      </c>
      <c r="B123" s="8" t="s">
        <v>169</v>
      </c>
      <c r="C123" s="8" t="s">
        <v>22</v>
      </c>
      <c r="D123" s="8" t="s">
        <v>282</v>
      </c>
      <c r="E123" s="8" t="s">
        <v>307</v>
      </c>
      <c r="F123" s="8" t="s">
        <v>308</v>
      </c>
      <c r="G123" s="9">
        <v>1</v>
      </c>
      <c r="H123" s="9">
        <v>16</v>
      </c>
      <c r="I123" s="9">
        <v>16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f>IFERROR(VLOOKUP(A123,[1]OIL!$A$2:$N$51,14,),0)</f>
        <v>0</v>
      </c>
      <c r="U123" s="3">
        <f t="shared" si="4"/>
        <v>0</v>
      </c>
    </row>
    <row r="124" spans="1:21" ht="15">
      <c r="A124" s="4" t="s">
        <v>309</v>
      </c>
      <c r="B124" s="8" t="s">
        <v>173</v>
      </c>
      <c r="C124" s="8" t="s">
        <v>22</v>
      </c>
      <c r="D124" s="8" t="s">
        <v>282</v>
      </c>
      <c r="E124" s="8" t="s">
        <v>310</v>
      </c>
      <c r="F124" s="14" t="s">
        <v>311</v>
      </c>
      <c r="G124" s="9">
        <v>1</v>
      </c>
      <c r="H124" s="9">
        <v>16</v>
      </c>
      <c r="I124" s="9">
        <v>16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f>IFERROR(VLOOKUP(A124,[1]OIL!$A$2:$N$51,14,),0)</f>
        <v>0</v>
      </c>
      <c r="U124" s="3">
        <f t="shared" si="4"/>
        <v>0</v>
      </c>
    </row>
    <row r="125" spans="1:21" ht="15">
      <c r="A125" s="4" t="s">
        <v>312</v>
      </c>
      <c r="B125" s="8" t="s">
        <v>29</v>
      </c>
      <c r="C125" s="8" t="s">
        <v>22</v>
      </c>
      <c r="D125" s="8" t="s">
        <v>282</v>
      </c>
      <c r="E125" s="8" t="s">
        <v>283</v>
      </c>
      <c r="F125" s="12" t="s">
        <v>313</v>
      </c>
      <c r="G125" s="15">
        <v>0.5</v>
      </c>
      <c r="H125" s="11">
        <f>I125*G125</f>
        <v>12</v>
      </c>
      <c r="I125" s="12">
        <v>24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f>IFERROR(VLOOKUP(A125,[1]OIL!$A$2:$N$51,14,),0)</f>
        <v>0</v>
      </c>
      <c r="U125" s="3">
        <f t="shared" si="4"/>
        <v>0</v>
      </c>
    </row>
    <row r="126" spans="1:21" ht="15">
      <c r="A126" s="4" t="s">
        <v>314</v>
      </c>
      <c r="B126" s="8" t="s">
        <v>315</v>
      </c>
      <c r="C126" s="8" t="s">
        <v>22</v>
      </c>
      <c r="D126" s="8" t="s">
        <v>282</v>
      </c>
      <c r="E126" s="8" t="s">
        <v>283</v>
      </c>
      <c r="F126" s="8" t="s">
        <v>316</v>
      </c>
      <c r="G126" s="9">
        <v>1</v>
      </c>
      <c r="H126" s="9">
        <v>16</v>
      </c>
      <c r="I126" s="9">
        <v>16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f>IFERROR(VLOOKUP(A126,[1]OIL!$A$2:$N$51,14,),0)</f>
        <v>0</v>
      </c>
      <c r="U126" s="3">
        <f t="shared" si="4"/>
        <v>0</v>
      </c>
    </row>
    <row r="127" spans="1:21" ht="15">
      <c r="A127" s="4" t="s">
        <v>317</v>
      </c>
      <c r="B127" s="8" t="s">
        <v>29</v>
      </c>
      <c r="C127" s="8" t="s">
        <v>22</v>
      </c>
      <c r="D127" s="8" t="s">
        <v>318</v>
      </c>
      <c r="E127" s="8" t="s">
        <v>276</v>
      </c>
      <c r="F127" s="12" t="s">
        <v>319</v>
      </c>
      <c r="G127" s="15">
        <v>0.1</v>
      </c>
      <c r="H127" s="11">
        <f>I127*G127</f>
        <v>2.4000000000000004</v>
      </c>
      <c r="I127" s="12">
        <v>24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f>IFERROR(VLOOKUP(A127,[1]OIL!$A$2:$N$51,14,),0)</f>
        <v>0</v>
      </c>
      <c r="U127" s="3">
        <f t="shared" si="4"/>
        <v>0</v>
      </c>
    </row>
    <row r="128" spans="1:21" ht="15">
      <c r="A128" s="4" t="s">
        <v>320</v>
      </c>
      <c r="B128" s="8" t="s">
        <v>29</v>
      </c>
      <c r="C128" s="8" t="s">
        <v>116</v>
      </c>
      <c r="D128" s="8" t="s">
        <v>321</v>
      </c>
      <c r="E128" s="8" t="s">
        <v>322</v>
      </c>
      <c r="F128" s="8" t="s">
        <v>323</v>
      </c>
      <c r="G128" s="9">
        <v>5</v>
      </c>
      <c r="H128" s="9">
        <v>20</v>
      </c>
      <c r="I128" s="9">
        <v>4</v>
      </c>
      <c r="J128" s="8">
        <v>6000</v>
      </c>
      <c r="K128" s="8">
        <v>1500</v>
      </c>
      <c r="L128" s="8">
        <v>1500</v>
      </c>
      <c r="M128" s="8">
        <v>1500</v>
      </c>
      <c r="N128" s="8">
        <v>1500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f>IFERROR(VLOOKUP(A128,[1]OIL!$A$2:$N$51,14,),0)</f>
        <v>20000</v>
      </c>
      <c r="U128" s="3">
        <f t="shared" si="4"/>
        <v>26000</v>
      </c>
    </row>
    <row r="129" spans="1:21" ht="15">
      <c r="A129" s="4" t="s">
        <v>324</v>
      </c>
      <c r="B129" s="8" t="s">
        <v>29</v>
      </c>
      <c r="C129" s="8" t="s">
        <v>116</v>
      </c>
      <c r="D129" s="8" t="s">
        <v>321</v>
      </c>
      <c r="E129" s="8" t="s">
        <v>322</v>
      </c>
      <c r="F129" s="8" t="s">
        <v>325</v>
      </c>
      <c r="G129" s="9">
        <v>1</v>
      </c>
      <c r="H129" s="9">
        <v>20</v>
      </c>
      <c r="I129" s="9">
        <v>20</v>
      </c>
      <c r="J129" s="8">
        <v>6000</v>
      </c>
      <c r="K129" s="8">
        <v>1500</v>
      </c>
      <c r="L129" s="8">
        <v>1500</v>
      </c>
      <c r="M129" s="8">
        <v>1500</v>
      </c>
      <c r="N129" s="8">
        <v>1500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f>IFERROR(VLOOKUP(A129,[1]OIL!$A$2:$N$51,14,),0)</f>
        <v>15000</v>
      </c>
      <c r="U129" s="3">
        <f t="shared" si="4"/>
        <v>21000</v>
      </c>
    </row>
    <row r="130" spans="1:21" ht="15">
      <c r="A130" s="4" t="s">
        <v>326</v>
      </c>
      <c r="B130" s="8" t="s">
        <v>29</v>
      </c>
      <c r="C130" s="8" t="s">
        <v>116</v>
      </c>
      <c r="D130" s="8" t="s">
        <v>321</v>
      </c>
      <c r="E130" s="8" t="s">
        <v>327</v>
      </c>
      <c r="F130" s="22" t="s">
        <v>328</v>
      </c>
      <c r="G130" s="9">
        <v>4</v>
      </c>
      <c r="H130" s="9">
        <v>20</v>
      </c>
      <c r="I130" s="9">
        <v>5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f>IFERROR(VLOOKUP(A130,[1]OIL!$A$2:$N$51,14,),0)</f>
        <v>0</v>
      </c>
      <c r="U130" s="3">
        <f t="shared" si="4"/>
        <v>0</v>
      </c>
    </row>
    <row r="131" spans="1:21" ht="15">
      <c r="A131" s="4" t="s">
        <v>435</v>
      </c>
      <c r="B131" s="8" t="s">
        <v>29</v>
      </c>
      <c r="C131" s="8" t="s">
        <v>116</v>
      </c>
      <c r="D131" s="8" t="s">
        <v>321</v>
      </c>
      <c r="E131" s="8" t="s">
        <v>327</v>
      </c>
      <c r="F131" s="8" t="s">
        <v>412</v>
      </c>
      <c r="G131" s="11">
        <v>16.483499999999999</v>
      </c>
      <c r="H131" s="11">
        <f>G131</f>
        <v>16.483499999999999</v>
      </c>
      <c r="I131" s="9">
        <v>1</v>
      </c>
      <c r="J131" s="8">
        <v>10000</v>
      </c>
      <c r="K131" s="8">
        <v>2500</v>
      </c>
      <c r="L131" s="8">
        <v>2500</v>
      </c>
      <c r="M131" s="8">
        <v>2500</v>
      </c>
      <c r="N131" s="8">
        <v>2500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f>IFERROR(VLOOKUP(A131,[1]OIL!$A$2:$N$51,14,),0)</f>
        <v>0</v>
      </c>
      <c r="U131" s="3">
        <f t="shared" si="4"/>
        <v>10000</v>
      </c>
    </row>
    <row r="132" spans="1:21" ht="15">
      <c r="A132" s="6" t="s">
        <v>414</v>
      </c>
      <c r="B132" s="8" t="s">
        <v>29</v>
      </c>
      <c r="C132" s="8" t="s">
        <v>116</v>
      </c>
      <c r="D132" s="8" t="s">
        <v>321</v>
      </c>
      <c r="E132" s="8" t="s">
        <v>327</v>
      </c>
      <c r="F132" s="8" t="s">
        <v>413</v>
      </c>
      <c r="G132" s="9">
        <v>15</v>
      </c>
      <c r="H132" s="9">
        <v>15</v>
      </c>
      <c r="I132" s="9">
        <v>1</v>
      </c>
      <c r="J132" s="8">
        <v>10000</v>
      </c>
      <c r="K132" s="8">
        <v>2500</v>
      </c>
      <c r="L132" s="8">
        <v>2500</v>
      </c>
      <c r="M132" s="8">
        <v>2500</v>
      </c>
      <c r="N132" s="8">
        <v>2500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f>IFERROR(VLOOKUP(A132,[1]OIL!$A$2:$N$51,14,),0)</f>
        <v>0</v>
      </c>
      <c r="U132" s="3">
        <f t="shared" si="4"/>
        <v>10000</v>
      </c>
    </row>
    <row r="133" spans="1:21" ht="15">
      <c r="A133" s="4" t="s">
        <v>329</v>
      </c>
      <c r="B133" s="8" t="s">
        <v>78</v>
      </c>
      <c r="C133" s="8" t="s">
        <v>116</v>
      </c>
      <c r="D133" s="8" t="s">
        <v>321</v>
      </c>
      <c r="E133" s="8" t="s">
        <v>330</v>
      </c>
      <c r="F133" s="12" t="s">
        <v>331</v>
      </c>
      <c r="G133" s="11">
        <v>0.88900000000000001</v>
      </c>
      <c r="H133" s="11">
        <v>12</v>
      </c>
      <c r="I133" s="8">
        <v>12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f>IFERROR(VLOOKUP(A133,[1]OIL!$A$2:$N$51,14,),0)</f>
        <v>0</v>
      </c>
      <c r="U133" s="3">
        <f t="shared" ref="U133:U189" si="9">+T133+O133+J133</f>
        <v>0</v>
      </c>
    </row>
    <row r="134" spans="1:21" ht="15">
      <c r="A134" s="4" t="s">
        <v>332</v>
      </c>
      <c r="B134" s="8" t="s">
        <v>29</v>
      </c>
      <c r="C134" s="8" t="s">
        <v>16</v>
      </c>
      <c r="D134" s="8" t="s">
        <v>333</v>
      </c>
      <c r="E134" s="8" t="s">
        <v>333</v>
      </c>
      <c r="F134" s="10" t="s">
        <v>334</v>
      </c>
      <c r="G134" s="9">
        <v>1</v>
      </c>
      <c r="H134" s="9">
        <v>16</v>
      </c>
      <c r="I134" s="9">
        <v>16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5">
        <v>5000</v>
      </c>
      <c r="P134" s="8">
        <v>1250</v>
      </c>
      <c r="Q134" s="8">
        <v>1250</v>
      </c>
      <c r="R134" s="8">
        <v>1250</v>
      </c>
      <c r="S134" s="8">
        <v>1250</v>
      </c>
      <c r="T134" s="5">
        <f>IFERROR(VLOOKUP(A134,[1]OIL!$A$2:$N$51,14,),0)</f>
        <v>20000</v>
      </c>
      <c r="U134" s="3">
        <f t="shared" si="9"/>
        <v>25000</v>
      </c>
    </row>
    <row r="135" spans="1:21" ht="15">
      <c r="A135" s="4" t="s">
        <v>335</v>
      </c>
      <c r="B135" s="8" t="s">
        <v>29</v>
      </c>
      <c r="C135" s="8" t="s">
        <v>16</v>
      </c>
      <c r="D135" s="8" t="s">
        <v>333</v>
      </c>
      <c r="E135" s="8" t="s">
        <v>333</v>
      </c>
      <c r="F135" s="8" t="s">
        <v>336</v>
      </c>
      <c r="G135" s="8">
        <v>0.5</v>
      </c>
      <c r="H135" s="8">
        <f>G135*I135</f>
        <v>6</v>
      </c>
      <c r="I135" s="8">
        <v>12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5">
        <v>1000</v>
      </c>
      <c r="P135" s="8">
        <v>250</v>
      </c>
      <c r="Q135" s="8">
        <v>250</v>
      </c>
      <c r="R135" s="8">
        <v>250</v>
      </c>
      <c r="S135" s="8">
        <v>250</v>
      </c>
      <c r="T135" s="5">
        <f>IFERROR(VLOOKUP(A135,[1]OIL!$A$2:$N$51,14,),0)</f>
        <v>0</v>
      </c>
      <c r="U135" s="3">
        <f t="shared" si="9"/>
        <v>1000</v>
      </c>
    </row>
    <row r="136" spans="1:21" ht="15">
      <c r="A136" s="4" t="s">
        <v>337</v>
      </c>
      <c r="B136" s="8" t="s">
        <v>29</v>
      </c>
      <c r="C136" s="8" t="s">
        <v>16</v>
      </c>
      <c r="D136" s="8" t="s">
        <v>333</v>
      </c>
      <c r="E136" s="8" t="s">
        <v>333</v>
      </c>
      <c r="F136" s="14" t="s">
        <v>338</v>
      </c>
      <c r="G136" s="8">
        <v>15</v>
      </c>
      <c r="H136" s="8">
        <v>15</v>
      </c>
      <c r="I136" s="8">
        <v>1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f>IFERROR(VLOOKUP(A136,[1]OIL!$A$2:$N$51,14,),0)</f>
        <v>0</v>
      </c>
      <c r="U136" s="3">
        <f t="shared" si="9"/>
        <v>0</v>
      </c>
    </row>
    <row r="137" spans="1:21" ht="15">
      <c r="A137" s="4" t="s">
        <v>339</v>
      </c>
      <c r="B137" s="8" t="s">
        <v>29</v>
      </c>
      <c r="C137" s="8" t="s">
        <v>16</v>
      </c>
      <c r="D137" s="8" t="s">
        <v>333</v>
      </c>
      <c r="E137" s="8" t="s">
        <v>333</v>
      </c>
      <c r="F137" s="8" t="s">
        <v>340</v>
      </c>
      <c r="G137" s="9">
        <v>1</v>
      </c>
      <c r="H137" s="8">
        <v>20</v>
      </c>
      <c r="I137" s="8">
        <v>20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f>IFERROR(VLOOKUP(A137,[1]OIL!$A$2:$N$51,14,),0)</f>
        <v>0</v>
      </c>
      <c r="U137" s="3">
        <f t="shared" si="9"/>
        <v>0</v>
      </c>
    </row>
    <row r="138" spans="1:21" ht="15">
      <c r="A138" s="4" t="s">
        <v>341</v>
      </c>
      <c r="B138" s="8" t="s">
        <v>29</v>
      </c>
      <c r="C138" s="8" t="s">
        <v>116</v>
      </c>
      <c r="D138" s="8" t="s">
        <v>342</v>
      </c>
      <c r="E138" s="8" t="s">
        <v>343</v>
      </c>
      <c r="F138" s="8" t="s">
        <v>344</v>
      </c>
      <c r="G138" s="11">
        <v>0.75</v>
      </c>
      <c r="H138" s="11">
        <f>G138*I138</f>
        <v>9</v>
      </c>
      <c r="I138" s="8">
        <v>12</v>
      </c>
      <c r="J138" s="8">
        <v>42000</v>
      </c>
      <c r="K138" s="8">
        <v>10500</v>
      </c>
      <c r="L138" s="8">
        <v>10500</v>
      </c>
      <c r="M138" s="8">
        <v>10500</v>
      </c>
      <c r="N138" s="8">
        <v>10500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f>IFERROR(VLOOKUP(A138,[1]OIL!$A$2:$N$51,14,),0)</f>
        <v>0</v>
      </c>
      <c r="U138" s="3">
        <f t="shared" si="9"/>
        <v>42000</v>
      </c>
    </row>
    <row r="139" spans="1:21" ht="15">
      <c r="A139" s="4" t="s">
        <v>345</v>
      </c>
      <c r="B139" s="8" t="s">
        <v>29</v>
      </c>
      <c r="C139" s="8" t="s">
        <v>116</v>
      </c>
      <c r="D139" s="8" t="s">
        <v>342</v>
      </c>
      <c r="E139" s="8" t="s">
        <v>343</v>
      </c>
      <c r="F139" s="8" t="s">
        <v>346</v>
      </c>
      <c r="G139" s="11">
        <v>0.7</v>
      </c>
      <c r="H139" s="11">
        <v>9.24</v>
      </c>
      <c r="I139" s="8">
        <v>12</v>
      </c>
      <c r="J139" s="8">
        <v>42000</v>
      </c>
      <c r="K139" s="8">
        <v>10500</v>
      </c>
      <c r="L139" s="8">
        <v>10500</v>
      </c>
      <c r="M139" s="8">
        <v>10500</v>
      </c>
      <c r="N139" s="8">
        <v>10500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f>IFERROR(VLOOKUP(A139,[1]OIL!$A$2:$N$51,14,),0)</f>
        <v>0</v>
      </c>
      <c r="U139" s="3">
        <f t="shared" si="9"/>
        <v>42000</v>
      </c>
    </row>
    <row r="140" spans="1:21" ht="15">
      <c r="A140" s="4" t="s">
        <v>347</v>
      </c>
      <c r="B140" s="8" t="s">
        <v>29</v>
      </c>
      <c r="C140" s="8" t="s">
        <v>116</v>
      </c>
      <c r="D140" s="8" t="s">
        <v>342</v>
      </c>
      <c r="E140" s="8" t="s">
        <v>343</v>
      </c>
      <c r="F140" s="8" t="s">
        <v>348</v>
      </c>
      <c r="G140" s="9">
        <v>1</v>
      </c>
      <c r="H140" s="9">
        <v>12</v>
      </c>
      <c r="I140" s="9">
        <v>12</v>
      </c>
      <c r="J140" s="8">
        <v>50000</v>
      </c>
      <c r="K140" s="8">
        <v>12500</v>
      </c>
      <c r="L140" s="8">
        <v>12500</v>
      </c>
      <c r="M140" s="8">
        <v>12500</v>
      </c>
      <c r="N140" s="8">
        <v>12500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f>IFERROR(VLOOKUP(A140,[1]OIL!$A$2:$N$51,14,),0)</f>
        <v>50000</v>
      </c>
      <c r="U140" s="3">
        <f t="shared" si="9"/>
        <v>100000</v>
      </c>
    </row>
    <row r="141" spans="1:21" ht="15">
      <c r="A141" s="4" t="s">
        <v>349</v>
      </c>
      <c r="B141" s="8" t="s">
        <v>29</v>
      </c>
      <c r="C141" s="8" t="s">
        <v>116</v>
      </c>
      <c r="D141" s="8" t="s">
        <v>342</v>
      </c>
      <c r="E141" s="8" t="s">
        <v>343</v>
      </c>
      <c r="F141" s="8" t="s">
        <v>350</v>
      </c>
      <c r="G141" s="9">
        <v>5</v>
      </c>
      <c r="H141" s="9">
        <v>20</v>
      </c>
      <c r="I141" s="9">
        <v>4</v>
      </c>
      <c r="J141" s="8">
        <v>20000</v>
      </c>
      <c r="K141" s="8">
        <v>5000</v>
      </c>
      <c r="L141" s="8">
        <v>5000</v>
      </c>
      <c r="M141" s="8">
        <v>5000</v>
      </c>
      <c r="N141" s="8">
        <v>5000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f>IFERROR(VLOOKUP(A141,[1]OIL!$A$2:$N$51,14,),0)</f>
        <v>10000</v>
      </c>
      <c r="U141" s="3">
        <f t="shared" si="9"/>
        <v>30000</v>
      </c>
    </row>
    <row r="142" spans="1:21" ht="15">
      <c r="A142" s="4" t="s">
        <v>351</v>
      </c>
      <c r="B142" s="8" t="s">
        <v>29</v>
      </c>
      <c r="C142" s="8" t="s">
        <v>116</v>
      </c>
      <c r="D142" s="8" t="s">
        <v>342</v>
      </c>
      <c r="E142" s="8" t="s">
        <v>343</v>
      </c>
      <c r="F142" s="8" t="s">
        <v>352</v>
      </c>
      <c r="G142" s="9">
        <v>1</v>
      </c>
      <c r="H142" s="9">
        <v>20</v>
      </c>
      <c r="I142" s="9">
        <v>20</v>
      </c>
      <c r="J142" s="8">
        <v>20000</v>
      </c>
      <c r="K142" s="8">
        <v>5000</v>
      </c>
      <c r="L142" s="8">
        <v>5000</v>
      </c>
      <c r="M142" s="8">
        <v>5000</v>
      </c>
      <c r="N142" s="8">
        <v>5000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f>IFERROR(VLOOKUP(A142,[1]OIL!$A$2:$N$51,14,),0)</f>
        <v>15000</v>
      </c>
      <c r="U142" s="3">
        <f t="shared" si="9"/>
        <v>35000</v>
      </c>
    </row>
    <row r="143" spans="1:21" ht="15">
      <c r="A143" s="4" t="s">
        <v>353</v>
      </c>
      <c r="B143" s="8" t="s">
        <v>78</v>
      </c>
      <c r="C143" s="8" t="s">
        <v>116</v>
      </c>
      <c r="D143" s="8" t="s">
        <v>342</v>
      </c>
      <c r="E143" s="8" t="s">
        <v>354</v>
      </c>
      <c r="F143" s="8" t="s">
        <v>355</v>
      </c>
      <c r="G143" s="9">
        <v>5</v>
      </c>
      <c r="H143" s="9">
        <v>20</v>
      </c>
      <c r="I143" s="9">
        <v>4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f>IFERROR(VLOOKUP(A143,[1]OIL!$A$2:$N$51,14,),0)</f>
        <v>0</v>
      </c>
      <c r="U143" s="3">
        <f t="shared" si="9"/>
        <v>0</v>
      </c>
    </row>
    <row r="144" spans="1:21" ht="15">
      <c r="A144" s="4" t="s">
        <v>356</v>
      </c>
      <c r="B144" s="8" t="s">
        <v>78</v>
      </c>
      <c r="C144" s="8" t="s">
        <v>116</v>
      </c>
      <c r="D144" s="8" t="s">
        <v>342</v>
      </c>
      <c r="E144" s="8" t="s">
        <v>354</v>
      </c>
      <c r="F144" s="8" t="s">
        <v>357</v>
      </c>
      <c r="G144" s="9">
        <v>1</v>
      </c>
      <c r="H144" s="9">
        <v>20</v>
      </c>
      <c r="I144" s="9">
        <v>20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f>IFERROR(VLOOKUP(A144,[1]OIL!$A$2:$N$51,14,),0)</f>
        <v>0</v>
      </c>
      <c r="U144" s="3">
        <f t="shared" si="9"/>
        <v>0</v>
      </c>
    </row>
    <row r="145" spans="1:21" ht="15">
      <c r="A145" s="4" t="s">
        <v>358</v>
      </c>
      <c r="B145" s="8" t="s">
        <v>29</v>
      </c>
      <c r="C145" s="8" t="s">
        <v>116</v>
      </c>
      <c r="D145" s="8" t="s">
        <v>342</v>
      </c>
      <c r="E145" s="8" t="s">
        <v>343</v>
      </c>
      <c r="F145" s="14" t="s">
        <v>359</v>
      </c>
      <c r="G145" s="11">
        <v>14.29</v>
      </c>
      <c r="H145" s="11">
        <f t="shared" ref="H145:H146" si="10">G145</f>
        <v>14.29</v>
      </c>
      <c r="I145" s="8">
        <v>1</v>
      </c>
      <c r="J145" s="8">
        <v>100000</v>
      </c>
      <c r="K145" s="8">
        <v>25000</v>
      </c>
      <c r="L145" s="8">
        <v>25000</v>
      </c>
      <c r="M145" s="8">
        <v>25000</v>
      </c>
      <c r="N145" s="8">
        <v>25000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f>IFERROR(VLOOKUP(A145,[1]OIL!$A$2:$N$51,14,),0)</f>
        <v>0</v>
      </c>
      <c r="U145" s="3">
        <f t="shared" si="9"/>
        <v>100000</v>
      </c>
    </row>
    <row r="146" spans="1:21" ht="15">
      <c r="A146" s="4" t="s">
        <v>360</v>
      </c>
      <c r="B146" s="8" t="s">
        <v>29</v>
      </c>
      <c r="C146" s="8" t="s">
        <v>116</v>
      </c>
      <c r="D146" s="8" t="s">
        <v>342</v>
      </c>
      <c r="E146" s="8" t="s">
        <v>343</v>
      </c>
      <c r="F146" s="8" t="s">
        <v>361</v>
      </c>
      <c r="G146" s="11">
        <v>16.483499999999999</v>
      </c>
      <c r="H146" s="11">
        <f t="shared" si="10"/>
        <v>16.483499999999999</v>
      </c>
      <c r="I146" s="8">
        <v>1</v>
      </c>
      <c r="J146" s="8">
        <v>80000</v>
      </c>
      <c r="K146" s="8">
        <v>20000</v>
      </c>
      <c r="L146" s="8">
        <v>20000</v>
      </c>
      <c r="M146" s="8">
        <v>20000</v>
      </c>
      <c r="N146" s="8">
        <v>20000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f>IFERROR(VLOOKUP(A146,[1]OIL!$A$2:$N$51,14,),0)</f>
        <v>0</v>
      </c>
      <c r="U146" s="3">
        <f t="shared" si="9"/>
        <v>80000</v>
      </c>
    </row>
    <row r="147" spans="1:21" ht="15">
      <c r="A147" s="4" t="s">
        <v>362</v>
      </c>
      <c r="B147" s="8" t="s">
        <v>29</v>
      </c>
      <c r="C147" s="8" t="s">
        <v>116</v>
      </c>
      <c r="D147" s="8" t="s">
        <v>342</v>
      </c>
      <c r="E147" s="8" t="s">
        <v>343</v>
      </c>
      <c r="F147" s="8" t="s">
        <v>363</v>
      </c>
      <c r="G147" s="11">
        <v>0.77</v>
      </c>
      <c r="H147" s="11">
        <v>9.24</v>
      </c>
      <c r="I147" s="8">
        <v>12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f>IFERROR(VLOOKUP(A147,[1]OIL!$A$2:$N$51,14,),0)</f>
        <v>0</v>
      </c>
      <c r="U147" s="3">
        <f t="shared" si="9"/>
        <v>0</v>
      </c>
    </row>
    <row r="148" spans="1:21" ht="15">
      <c r="A148" s="4" t="s">
        <v>364</v>
      </c>
      <c r="B148" s="8" t="s">
        <v>29</v>
      </c>
      <c r="C148" s="8" t="s">
        <v>116</v>
      </c>
      <c r="D148" s="8" t="s">
        <v>342</v>
      </c>
      <c r="E148" s="8" t="s">
        <v>343</v>
      </c>
      <c r="F148" s="8" t="s">
        <v>365</v>
      </c>
      <c r="G148" s="9">
        <v>15</v>
      </c>
      <c r="H148" s="9">
        <f>G148</f>
        <v>15</v>
      </c>
      <c r="I148" s="8">
        <v>1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f>IFERROR(VLOOKUP(A148,[1]OIL!$A$2:$N$51,14,),0)</f>
        <v>0</v>
      </c>
      <c r="U148" s="3">
        <f t="shared" si="9"/>
        <v>0</v>
      </c>
    </row>
    <row r="149" spans="1:21" ht="15">
      <c r="A149" s="4" t="s">
        <v>366</v>
      </c>
      <c r="B149" s="8" t="s">
        <v>29</v>
      </c>
      <c r="C149" s="8" t="s">
        <v>116</v>
      </c>
      <c r="D149" s="8" t="s">
        <v>342</v>
      </c>
      <c r="E149" s="8" t="s">
        <v>343</v>
      </c>
      <c r="F149" s="14" t="s">
        <v>367</v>
      </c>
      <c r="G149" s="9">
        <v>4</v>
      </c>
      <c r="H149" s="9">
        <v>20</v>
      </c>
      <c r="I149" s="9">
        <v>5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f>IFERROR(VLOOKUP(A149,[1]OIL!$A$2:$N$51,14,),0)</f>
        <v>0</v>
      </c>
      <c r="U149" s="3">
        <f t="shared" si="9"/>
        <v>0</v>
      </c>
    </row>
    <row r="150" spans="1:21" ht="15">
      <c r="A150" s="4" t="s">
        <v>368</v>
      </c>
      <c r="B150" s="8" t="s">
        <v>78</v>
      </c>
      <c r="C150" s="8" t="s">
        <v>116</v>
      </c>
      <c r="D150" s="8" t="s">
        <v>342</v>
      </c>
      <c r="E150" s="8" t="s">
        <v>369</v>
      </c>
      <c r="F150" s="12" t="s">
        <v>370</v>
      </c>
      <c r="G150" s="15">
        <v>0.85</v>
      </c>
      <c r="H150" s="11">
        <f>I150*G150</f>
        <v>10.199999999999999</v>
      </c>
      <c r="I150" s="12">
        <v>12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f>IFERROR(VLOOKUP(A150,[1]OIL!$A$2:$N$51,14,),0)</f>
        <v>0</v>
      </c>
      <c r="U150" s="3">
        <f t="shared" si="9"/>
        <v>0</v>
      </c>
    </row>
    <row r="151" spans="1:21" ht="15">
      <c r="A151" s="4" t="s">
        <v>371</v>
      </c>
      <c r="B151" s="8" t="s">
        <v>78</v>
      </c>
      <c r="C151" s="8" t="s">
        <v>116</v>
      </c>
      <c r="D151" s="8" t="s">
        <v>342</v>
      </c>
      <c r="E151" s="8" t="s">
        <v>354</v>
      </c>
      <c r="F151" s="8" t="s">
        <v>372</v>
      </c>
      <c r="G151" s="11">
        <v>16.483499999999999</v>
      </c>
      <c r="H151" s="11">
        <f>G151</f>
        <v>16.483499999999999</v>
      </c>
      <c r="I151" s="8">
        <v>1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f>IFERROR(VLOOKUP(A151,[1]OIL!$A$2:$N$51,14,),0)</f>
        <v>0</v>
      </c>
      <c r="U151" s="3">
        <f t="shared" si="9"/>
        <v>0</v>
      </c>
    </row>
    <row r="152" spans="1:21" ht="15">
      <c r="A152" s="4" t="s">
        <v>373</v>
      </c>
      <c r="B152" s="8" t="s">
        <v>78</v>
      </c>
      <c r="C152" s="8" t="s">
        <v>116</v>
      </c>
      <c r="D152" s="8" t="s">
        <v>342</v>
      </c>
      <c r="E152" s="8" t="s">
        <v>354</v>
      </c>
      <c r="F152" s="12" t="s">
        <v>374</v>
      </c>
      <c r="G152" s="15">
        <v>0.95499999999999996</v>
      </c>
      <c r="H152" s="11">
        <f>I152*G152</f>
        <v>19.099999999999998</v>
      </c>
      <c r="I152" s="12">
        <v>20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f>IFERROR(VLOOKUP(A152,[1]OIL!$A$2:$N$51,14,),0)</f>
        <v>0</v>
      </c>
      <c r="U152" s="3">
        <f t="shared" si="9"/>
        <v>0</v>
      </c>
    </row>
    <row r="153" spans="1:21" ht="15">
      <c r="A153" s="4" t="s">
        <v>375</v>
      </c>
      <c r="B153" s="8" t="s">
        <v>78</v>
      </c>
      <c r="C153" s="8" t="s">
        <v>116</v>
      </c>
      <c r="D153" s="8" t="s">
        <v>342</v>
      </c>
      <c r="E153" s="8" t="s">
        <v>354</v>
      </c>
      <c r="F153" s="8" t="s">
        <v>376</v>
      </c>
      <c r="G153" s="11">
        <v>14.2857</v>
      </c>
      <c r="H153" s="11">
        <f t="shared" ref="H153:H154" si="11">G153</f>
        <v>14.2857</v>
      </c>
      <c r="I153" s="8">
        <v>1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f>IFERROR(VLOOKUP(A153,[1]OIL!$A$2:$N$51,14,),0)</f>
        <v>0</v>
      </c>
      <c r="U153" s="3">
        <f t="shared" si="9"/>
        <v>0</v>
      </c>
    </row>
    <row r="154" spans="1:21" ht="15">
      <c r="A154" s="4" t="s">
        <v>377</v>
      </c>
      <c r="B154" s="8" t="s">
        <v>78</v>
      </c>
      <c r="C154" s="8" t="s">
        <v>116</v>
      </c>
      <c r="D154" s="8" t="s">
        <v>342</v>
      </c>
      <c r="E154" s="8" t="s">
        <v>354</v>
      </c>
      <c r="F154" s="12" t="s">
        <v>378</v>
      </c>
      <c r="G154" s="15">
        <v>13.1868</v>
      </c>
      <c r="H154" s="11">
        <f t="shared" si="11"/>
        <v>13.1868</v>
      </c>
      <c r="I154" s="12">
        <v>1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f>IFERROR(VLOOKUP(A154,[1]OIL!$A$2:$N$51,14,),0)</f>
        <v>0</v>
      </c>
      <c r="U154" s="3">
        <f t="shared" si="9"/>
        <v>0</v>
      </c>
    </row>
    <row r="155" spans="1:21" ht="15">
      <c r="A155" s="4" t="s">
        <v>379</v>
      </c>
      <c r="B155" s="8" t="s">
        <v>29</v>
      </c>
      <c r="C155" s="8" t="s">
        <v>116</v>
      </c>
      <c r="D155" s="8" t="s">
        <v>380</v>
      </c>
      <c r="E155" s="8" t="s">
        <v>381</v>
      </c>
      <c r="F155" s="8" t="s">
        <v>382</v>
      </c>
      <c r="G155" s="9">
        <v>5</v>
      </c>
      <c r="H155" s="9">
        <v>20</v>
      </c>
      <c r="I155" s="9">
        <v>4</v>
      </c>
      <c r="J155" s="8">
        <v>15000</v>
      </c>
      <c r="K155" s="8">
        <v>3750</v>
      </c>
      <c r="L155" s="8">
        <v>3750</v>
      </c>
      <c r="M155" s="8">
        <v>3750</v>
      </c>
      <c r="N155" s="8">
        <v>3750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f>IFERROR(VLOOKUP(A155,[1]OIL!$A$2:$N$51,14,),0)</f>
        <v>100000</v>
      </c>
      <c r="U155" s="3">
        <f t="shared" si="9"/>
        <v>115000</v>
      </c>
    </row>
    <row r="156" spans="1:21" ht="15">
      <c r="A156" s="4" t="s">
        <v>383</v>
      </c>
      <c r="B156" s="8" t="s">
        <v>29</v>
      </c>
      <c r="C156" s="8" t="s">
        <v>116</v>
      </c>
      <c r="D156" s="8" t="s">
        <v>380</v>
      </c>
      <c r="E156" s="8" t="s">
        <v>381</v>
      </c>
      <c r="F156" s="8" t="s">
        <v>384</v>
      </c>
      <c r="G156" s="9">
        <v>1</v>
      </c>
      <c r="H156" s="9">
        <v>20</v>
      </c>
      <c r="I156" s="9">
        <v>20</v>
      </c>
      <c r="J156" s="8">
        <v>20000</v>
      </c>
      <c r="K156" s="8">
        <v>5000</v>
      </c>
      <c r="L156" s="8">
        <v>5000</v>
      </c>
      <c r="M156" s="8">
        <v>5000</v>
      </c>
      <c r="N156" s="8">
        <v>5000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f>IFERROR(VLOOKUP(A156,[1]OIL!$A$2:$N$51,14,),0)</f>
        <v>300000</v>
      </c>
      <c r="U156" s="3">
        <f t="shared" si="9"/>
        <v>320000</v>
      </c>
    </row>
    <row r="157" spans="1:21" ht="15">
      <c r="A157" s="4" t="s">
        <v>385</v>
      </c>
      <c r="B157" s="8" t="s">
        <v>29</v>
      </c>
      <c r="C157" s="8" t="s">
        <v>116</v>
      </c>
      <c r="D157" s="8" t="s">
        <v>380</v>
      </c>
      <c r="E157" s="8" t="s">
        <v>381</v>
      </c>
      <c r="F157" s="8" t="s">
        <v>386</v>
      </c>
      <c r="G157" s="11">
        <v>15</v>
      </c>
      <c r="H157" s="9">
        <f>G157</f>
        <v>15</v>
      </c>
      <c r="I157" s="8">
        <v>1</v>
      </c>
      <c r="J157" s="8">
        <v>30000</v>
      </c>
      <c r="K157" s="8">
        <v>7500</v>
      </c>
      <c r="L157" s="8">
        <v>7500</v>
      </c>
      <c r="M157" s="8">
        <v>7500</v>
      </c>
      <c r="N157" s="8">
        <v>7500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f>IFERROR(VLOOKUP(A157,[1]OIL!$A$2:$N$51,14,),0)</f>
        <v>0</v>
      </c>
      <c r="U157" s="3">
        <f t="shared" si="9"/>
        <v>30000</v>
      </c>
    </row>
    <row r="158" spans="1:21" ht="15">
      <c r="A158" s="4" t="s">
        <v>387</v>
      </c>
      <c r="B158" s="8" t="s">
        <v>29</v>
      </c>
      <c r="C158" s="8" t="s">
        <v>116</v>
      </c>
      <c r="D158" s="8" t="s">
        <v>380</v>
      </c>
      <c r="E158" s="8" t="s">
        <v>381</v>
      </c>
      <c r="F158" s="8" t="s">
        <v>388</v>
      </c>
      <c r="G158" s="9">
        <v>4</v>
      </c>
      <c r="H158" s="9">
        <v>20</v>
      </c>
      <c r="I158" s="9">
        <v>5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f>IFERROR(VLOOKUP(A158,[1]OIL!$A$2:$N$51,14,),0)</f>
        <v>0</v>
      </c>
      <c r="U158" s="3">
        <f t="shared" si="9"/>
        <v>0</v>
      </c>
    </row>
    <row r="159" spans="1:21" ht="15">
      <c r="A159" s="4" t="s">
        <v>389</v>
      </c>
      <c r="B159" s="8" t="s">
        <v>29</v>
      </c>
      <c r="C159" s="8" t="s">
        <v>116</v>
      </c>
      <c r="D159" s="8" t="s">
        <v>380</v>
      </c>
      <c r="E159" s="8" t="s">
        <v>381</v>
      </c>
      <c r="F159" s="8" t="s">
        <v>390</v>
      </c>
      <c r="G159" s="9">
        <v>2</v>
      </c>
      <c r="H159" s="9">
        <v>20</v>
      </c>
      <c r="I159" s="9">
        <v>10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f>IFERROR(VLOOKUP(A159,[1]OIL!$A$2:$N$51,14,),0)</f>
        <v>0</v>
      </c>
      <c r="U159" s="3">
        <f t="shared" si="9"/>
        <v>0</v>
      </c>
    </row>
    <row r="160" spans="1:21" ht="15">
      <c r="A160" s="4" t="s">
        <v>391</v>
      </c>
      <c r="B160" s="8" t="s">
        <v>216</v>
      </c>
      <c r="C160" s="8" t="s">
        <v>116</v>
      </c>
      <c r="D160" s="8" t="s">
        <v>380</v>
      </c>
      <c r="E160" s="8" t="s">
        <v>392</v>
      </c>
      <c r="F160" s="8" t="s">
        <v>393</v>
      </c>
      <c r="G160" s="9">
        <v>5</v>
      </c>
      <c r="H160" s="9">
        <f t="shared" ref="H160:H161" si="12">G160*I160</f>
        <v>20</v>
      </c>
      <c r="I160" s="9">
        <v>4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f>IFERROR(VLOOKUP(A160,[1]OIL!$A$2:$N$51,14,),0)</f>
        <v>0</v>
      </c>
      <c r="U160" s="3">
        <f t="shared" si="9"/>
        <v>0</v>
      </c>
    </row>
    <row r="161" spans="1:21" ht="15">
      <c r="A161" s="4" t="s">
        <v>394</v>
      </c>
      <c r="B161" s="8" t="s">
        <v>216</v>
      </c>
      <c r="C161" s="8" t="s">
        <v>116</v>
      </c>
      <c r="D161" s="8" t="s">
        <v>380</v>
      </c>
      <c r="E161" s="8" t="s">
        <v>392</v>
      </c>
      <c r="F161" s="8" t="s">
        <v>395</v>
      </c>
      <c r="G161" s="9">
        <v>1</v>
      </c>
      <c r="H161" s="9">
        <f t="shared" si="12"/>
        <v>16</v>
      </c>
      <c r="I161" s="9">
        <v>16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f>IFERROR(VLOOKUP(A161,[1]OIL!$A$2:$N$51,14,),0)</f>
        <v>0</v>
      </c>
      <c r="U161" s="3">
        <f t="shared" si="9"/>
        <v>0</v>
      </c>
    </row>
    <row r="162" spans="1:21" ht="15">
      <c r="A162" s="4" t="s">
        <v>396</v>
      </c>
      <c r="B162" s="8" t="s">
        <v>78</v>
      </c>
      <c r="C162" s="8" t="s">
        <v>116</v>
      </c>
      <c r="D162" s="8" t="s">
        <v>380</v>
      </c>
      <c r="E162" s="8" t="s">
        <v>397</v>
      </c>
      <c r="F162" s="8" t="s">
        <v>398</v>
      </c>
      <c r="G162" s="9">
        <v>5</v>
      </c>
      <c r="H162" s="9">
        <v>20</v>
      </c>
      <c r="I162" s="9">
        <v>4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f>IFERROR(VLOOKUP(A162,[1]OIL!$A$2:$N$51,14,),0)</f>
        <v>0</v>
      </c>
      <c r="U162" s="3">
        <f t="shared" si="9"/>
        <v>0</v>
      </c>
    </row>
    <row r="163" spans="1:21" ht="15">
      <c r="A163" s="4" t="s">
        <v>399</v>
      </c>
      <c r="B163" s="8" t="s">
        <v>78</v>
      </c>
      <c r="C163" s="8" t="s">
        <v>116</v>
      </c>
      <c r="D163" s="8" t="s">
        <v>380</v>
      </c>
      <c r="E163" s="8" t="s">
        <v>397</v>
      </c>
      <c r="F163" s="8" t="s">
        <v>400</v>
      </c>
      <c r="G163" s="9">
        <v>1</v>
      </c>
      <c r="H163" s="9">
        <v>20</v>
      </c>
      <c r="I163" s="9">
        <v>20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f>IFERROR(VLOOKUP(A163,[1]OIL!$A$2:$N$51,14,),0)</f>
        <v>0</v>
      </c>
      <c r="U163" s="3">
        <f t="shared" si="9"/>
        <v>0</v>
      </c>
    </row>
    <row r="164" spans="1:21" ht="15">
      <c r="A164" s="4" t="s">
        <v>401</v>
      </c>
      <c r="B164" s="8" t="s">
        <v>78</v>
      </c>
      <c r="C164" s="8" t="s">
        <v>116</v>
      </c>
      <c r="D164" s="8" t="s">
        <v>380</v>
      </c>
      <c r="E164" s="8" t="s">
        <v>397</v>
      </c>
      <c r="F164" s="12" t="s">
        <v>402</v>
      </c>
      <c r="G164" s="15">
        <v>0.95499999999999996</v>
      </c>
      <c r="H164" s="11">
        <f>I164*G164</f>
        <v>19.099999999999998</v>
      </c>
      <c r="I164" s="12">
        <v>20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f>IFERROR(VLOOKUP(A164,[1]OIL!$A$2:$N$51,14,),0)</f>
        <v>0</v>
      </c>
      <c r="U164" s="3">
        <f t="shared" si="9"/>
        <v>0</v>
      </c>
    </row>
    <row r="165" spans="1:21" ht="15">
      <c r="A165" s="4" t="s">
        <v>403</v>
      </c>
      <c r="B165" s="8" t="s">
        <v>29</v>
      </c>
      <c r="C165" s="8" t="s">
        <v>16</v>
      </c>
      <c r="D165" s="8" t="s">
        <v>253</v>
      </c>
      <c r="E165" s="8" t="s">
        <v>253</v>
      </c>
      <c r="F165" s="14" t="s">
        <v>404</v>
      </c>
      <c r="G165" s="9">
        <v>1</v>
      </c>
      <c r="H165" s="9">
        <v>20</v>
      </c>
      <c r="I165" s="9">
        <v>20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5">
        <v>25000</v>
      </c>
      <c r="P165" s="8">
        <v>6250</v>
      </c>
      <c r="Q165" s="8">
        <v>6250</v>
      </c>
      <c r="R165" s="8">
        <v>6250</v>
      </c>
      <c r="S165" s="8">
        <v>6250</v>
      </c>
      <c r="T165" s="5">
        <f>IFERROR(VLOOKUP(A165,[1]OIL!$A$2:$N$51,14,),0)</f>
        <v>15000</v>
      </c>
      <c r="U165" s="3">
        <f t="shared" si="9"/>
        <v>40000</v>
      </c>
    </row>
    <row r="166" spans="1:21" ht="15">
      <c r="A166" s="4" t="s">
        <v>405</v>
      </c>
      <c r="B166" s="8" t="s">
        <v>29</v>
      </c>
      <c r="C166" s="8" t="s">
        <v>16</v>
      </c>
      <c r="D166" s="8" t="s">
        <v>253</v>
      </c>
      <c r="E166" s="8" t="s">
        <v>253</v>
      </c>
      <c r="F166" s="8" t="s">
        <v>406</v>
      </c>
      <c r="G166" s="9">
        <v>5</v>
      </c>
      <c r="H166" s="9">
        <v>20</v>
      </c>
      <c r="I166" s="9">
        <v>4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5">
        <v>8000</v>
      </c>
      <c r="P166" s="8">
        <v>2000</v>
      </c>
      <c r="Q166" s="8">
        <v>2000</v>
      </c>
      <c r="R166" s="8">
        <v>2000</v>
      </c>
      <c r="S166" s="8">
        <v>2000</v>
      </c>
      <c r="T166" s="5">
        <f>IFERROR(VLOOKUP(A166,[1]OIL!$A$2:$N$51,14,),0)</f>
        <v>15000</v>
      </c>
      <c r="U166" s="3">
        <f t="shared" si="9"/>
        <v>23000</v>
      </c>
    </row>
    <row r="167" spans="1:21" ht="15">
      <c r="A167" s="4" t="s">
        <v>439</v>
      </c>
      <c r="B167" s="8" t="s">
        <v>29</v>
      </c>
      <c r="C167" s="8" t="s">
        <v>116</v>
      </c>
      <c r="D167" s="8" t="s">
        <v>342</v>
      </c>
      <c r="E167" s="8" t="s">
        <v>343</v>
      </c>
      <c r="F167" s="12" t="s">
        <v>407</v>
      </c>
      <c r="G167" s="15">
        <v>13.1868</v>
      </c>
      <c r="H167" s="11">
        <f>G167</f>
        <v>13.1868</v>
      </c>
      <c r="I167" s="12">
        <v>1</v>
      </c>
      <c r="J167" s="8">
        <v>100000</v>
      </c>
      <c r="K167" s="8">
        <v>25000</v>
      </c>
      <c r="L167" s="8">
        <v>25000</v>
      </c>
      <c r="M167" s="8">
        <v>25000</v>
      </c>
      <c r="N167" s="8">
        <v>25000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f>IFERROR(VLOOKUP(A167,[1]OIL!$A$2:$N$51,14,),0)</f>
        <v>0</v>
      </c>
      <c r="U167" s="3">
        <f t="shared" si="9"/>
        <v>100000</v>
      </c>
    </row>
    <row r="168" spans="1:21" ht="17.100000000000001" customHeight="1">
      <c r="A168" s="5" t="s">
        <v>415</v>
      </c>
      <c r="B168" s="6" t="s">
        <v>438</v>
      </c>
      <c r="C168" s="4" t="s">
        <v>22</v>
      </c>
      <c r="D168" s="6" t="s">
        <v>124</v>
      </c>
      <c r="E168" s="4" t="s">
        <v>159</v>
      </c>
      <c r="F168" s="5" t="s">
        <v>425</v>
      </c>
      <c r="G168" s="5">
        <v>1</v>
      </c>
      <c r="H168" s="5">
        <f>+G168*I168</f>
        <v>16</v>
      </c>
      <c r="I168" s="5">
        <v>16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5">
        <v>2000</v>
      </c>
      <c r="P168" s="8">
        <f>+O168</f>
        <v>2000</v>
      </c>
      <c r="Q168" s="8">
        <v>0</v>
      </c>
      <c r="R168" s="8">
        <v>0</v>
      </c>
      <c r="S168" s="8">
        <v>0</v>
      </c>
      <c r="T168" s="5">
        <f>IFERROR(VLOOKUP(A168,[1]OIL!$A$2:$N$51,14,),0)</f>
        <v>0</v>
      </c>
      <c r="U168" s="3">
        <f t="shared" si="9"/>
        <v>2000</v>
      </c>
    </row>
    <row r="169" spans="1:21" ht="17.100000000000001" customHeight="1">
      <c r="A169" s="5" t="s">
        <v>416</v>
      </c>
      <c r="B169" s="6" t="s">
        <v>29</v>
      </c>
      <c r="C169" s="4" t="s">
        <v>22</v>
      </c>
      <c r="D169" s="6" t="s">
        <v>30</v>
      </c>
      <c r="E169" s="5" t="s">
        <v>30</v>
      </c>
      <c r="F169" s="5" t="s">
        <v>426</v>
      </c>
      <c r="G169" s="5">
        <v>1</v>
      </c>
      <c r="H169" s="5">
        <f t="shared" ref="H169:H185" si="13">+G169*I169</f>
        <v>24</v>
      </c>
      <c r="I169" s="5">
        <v>24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f>IFERROR(VLOOKUP(A169,[1]OIL!$A$2:$N$51,14,),0)</f>
        <v>0</v>
      </c>
      <c r="U169" s="3">
        <f t="shared" si="9"/>
        <v>0</v>
      </c>
    </row>
    <row r="170" spans="1:21" ht="17.100000000000001" customHeight="1">
      <c r="A170" s="5" t="s">
        <v>417</v>
      </c>
      <c r="B170" s="6" t="s">
        <v>438</v>
      </c>
      <c r="C170" s="4" t="s">
        <v>22</v>
      </c>
      <c r="D170" s="6" t="s">
        <v>124</v>
      </c>
      <c r="E170" s="4" t="s">
        <v>134</v>
      </c>
      <c r="F170" s="5" t="s">
        <v>427</v>
      </c>
      <c r="G170" s="5">
        <v>1</v>
      </c>
      <c r="H170" s="5">
        <f t="shared" si="13"/>
        <v>16</v>
      </c>
      <c r="I170" s="5">
        <v>16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5">
        <v>1000</v>
      </c>
      <c r="P170" s="8">
        <f t="shared" ref="P170" si="14">+O170</f>
        <v>1000</v>
      </c>
      <c r="Q170" s="8">
        <v>0</v>
      </c>
      <c r="R170" s="8">
        <v>0</v>
      </c>
      <c r="S170" s="8">
        <v>0</v>
      </c>
      <c r="T170" s="5">
        <f>IFERROR(VLOOKUP(A170,[1]OIL!$A$2:$N$51,14,),0)</f>
        <v>0</v>
      </c>
      <c r="U170" s="3">
        <f t="shared" si="9"/>
        <v>1000</v>
      </c>
    </row>
    <row r="171" spans="1:21" ht="17.100000000000001" customHeight="1">
      <c r="A171" s="5" t="s">
        <v>418</v>
      </c>
      <c r="B171" s="6" t="s">
        <v>438</v>
      </c>
      <c r="C171" s="4" t="s">
        <v>22</v>
      </c>
      <c r="D171" s="6" t="s">
        <v>124</v>
      </c>
      <c r="E171" s="4" t="s">
        <v>159</v>
      </c>
      <c r="F171" s="5" t="s">
        <v>428</v>
      </c>
      <c r="G171" s="5">
        <v>1</v>
      </c>
      <c r="H171" s="5">
        <f t="shared" si="13"/>
        <v>16</v>
      </c>
      <c r="I171" s="5">
        <v>16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5">
        <v>1000</v>
      </c>
      <c r="P171" s="8">
        <f>+O171</f>
        <v>1000</v>
      </c>
      <c r="Q171" s="8">
        <v>0</v>
      </c>
      <c r="R171" s="8">
        <v>0</v>
      </c>
      <c r="S171" s="8">
        <v>0</v>
      </c>
      <c r="T171" s="5">
        <f>IFERROR(VLOOKUP(A171,[1]OIL!$A$2:$N$51,14,),0)</f>
        <v>0</v>
      </c>
      <c r="U171" s="3">
        <f t="shared" si="9"/>
        <v>1000</v>
      </c>
    </row>
    <row r="172" spans="1:21" ht="17.100000000000001" customHeight="1">
      <c r="A172" s="5" t="s">
        <v>419</v>
      </c>
      <c r="B172" s="6" t="s">
        <v>29</v>
      </c>
      <c r="C172" s="4" t="s">
        <v>22</v>
      </c>
      <c r="D172" s="6" t="s">
        <v>282</v>
      </c>
      <c r="E172" s="5" t="s">
        <v>282</v>
      </c>
      <c r="F172" s="5" t="s">
        <v>429</v>
      </c>
      <c r="G172" s="5">
        <v>200</v>
      </c>
      <c r="H172" s="5">
        <f t="shared" si="13"/>
        <v>200</v>
      </c>
      <c r="I172" s="5">
        <v>1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5">
        <v>1000</v>
      </c>
      <c r="P172" s="8">
        <v>250</v>
      </c>
      <c r="Q172" s="8">
        <v>250</v>
      </c>
      <c r="R172" s="8">
        <v>250</v>
      </c>
      <c r="S172" s="8">
        <v>250</v>
      </c>
      <c r="T172" s="5">
        <f>IFERROR(VLOOKUP(A172,[1]OIL!$A$2:$N$51,14,),0)</f>
        <v>0</v>
      </c>
      <c r="U172" s="3">
        <f t="shared" si="9"/>
        <v>1000</v>
      </c>
    </row>
    <row r="173" spans="1:21" ht="17.100000000000001" customHeight="1">
      <c r="A173" s="5" t="s">
        <v>420</v>
      </c>
      <c r="B173" s="6" t="s">
        <v>438</v>
      </c>
      <c r="C173" s="4" t="s">
        <v>22</v>
      </c>
      <c r="D173" s="6" t="s">
        <v>124</v>
      </c>
      <c r="E173" s="4" t="s">
        <v>282</v>
      </c>
      <c r="F173" s="5" t="s">
        <v>430</v>
      </c>
      <c r="G173" s="5">
        <v>1</v>
      </c>
      <c r="H173" s="5">
        <f t="shared" si="13"/>
        <v>24</v>
      </c>
      <c r="I173" s="5">
        <v>24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5">
        <v>500</v>
      </c>
      <c r="P173" s="8">
        <f t="shared" ref="P173:P174" si="15">+O173</f>
        <v>500</v>
      </c>
      <c r="Q173" s="8">
        <v>0</v>
      </c>
      <c r="R173" s="8">
        <v>0</v>
      </c>
      <c r="S173" s="8">
        <v>0</v>
      </c>
      <c r="T173" s="5">
        <f>IFERROR(VLOOKUP(A173,[1]OIL!$A$2:$N$51,14,),0)</f>
        <v>0</v>
      </c>
      <c r="U173" s="3">
        <f t="shared" si="9"/>
        <v>500</v>
      </c>
    </row>
    <row r="174" spans="1:21" ht="17.100000000000001" customHeight="1">
      <c r="A174" s="5" t="s">
        <v>421</v>
      </c>
      <c r="B174" s="6" t="s">
        <v>438</v>
      </c>
      <c r="C174" s="4" t="s">
        <v>22</v>
      </c>
      <c r="D174" s="6" t="s">
        <v>124</v>
      </c>
      <c r="E174" s="4" t="s">
        <v>159</v>
      </c>
      <c r="F174" s="5" t="s">
        <v>431</v>
      </c>
      <c r="G174" s="5">
        <v>0.05</v>
      </c>
      <c r="H174" s="5">
        <f t="shared" si="13"/>
        <v>1</v>
      </c>
      <c r="I174" s="5">
        <v>20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5">
        <v>1000</v>
      </c>
      <c r="P174" s="8">
        <f t="shared" si="15"/>
        <v>1000</v>
      </c>
      <c r="Q174" s="8">
        <v>0</v>
      </c>
      <c r="R174" s="8">
        <v>0</v>
      </c>
      <c r="S174" s="8">
        <v>0</v>
      </c>
      <c r="T174" s="5">
        <f>IFERROR(VLOOKUP(A174,[1]OIL!$A$2:$N$51,14,),0)</f>
        <v>0</v>
      </c>
      <c r="U174" s="3">
        <f t="shared" si="9"/>
        <v>1000</v>
      </c>
    </row>
    <row r="175" spans="1:21" ht="17.100000000000001" customHeight="1">
      <c r="A175" s="5" t="s">
        <v>422</v>
      </c>
      <c r="B175" s="6" t="s">
        <v>29</v>
      </c>
      <c r="C175" s="4" t="s">
        <v>22</v>
      </c>
      <c r="D175" s="6" t="s">
        <v>30</v>
      </c>
      <c r="E175" s="5" t="s">
        <v>30</v>
      </c>
      <c r="F175" s="5" t="s">
        <v>432</v>
      </c>
      <c r="G175" s="5">
        <v>4</v>
      </c>
      <c r="H175" s="5">
        <f t="shared" si="13"/>
        <v>20</v>
      </c>
      <c r="I175" s="5">
        <v>5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f>IFERROR(VLOOKUP(A175,[1]OIL!$A$2:$N$51,14,),0)</f>
        <v>0</v>
      </c>
      <c r="U175" s="3">
        <f t="shared" si="9"/>
        <v>0</v>
      </c>
    </row>
    <row r="176" spans="1:21" ht="17.100000000000001" customHeight="1">
      <c r="A176" s="5" t="s">
        <v>423</v>
      </c>
      <c r="B176" s="6" t="s">
        <v>29</v>
      </c>
      <c r="C176" s="4" t="s">
        <v>22</v>
      </c>
      <c r="D176" s="6" t="s">
        <v>108</v>
      </c>
      <c r="E176" s="5" t="s">
        <v>108</v>
      </c>
      <c r="F176" s="5" t="s">
        <v>433</v>
      </c>
      <c r="G176" s="5">
        <v>0.2</v>
      </c>
      <c r="H176" s="5">
        <f t="shared" si="13"/>
        <v>1.2000000000000002</v>
      </c>
      <c r="I176" s="5">
        <v>6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5">
        <v>500</v>
      </c>
      <c r="P176" s="8">
        <v>125</v>
      </c>
      <c r="Q176" s="8">
        <v>125</v>
      </c>
      <c r="R176" s="8">
        <v>125</v>
      </c>
      <c r="S176" s="8">
        <v>125</v>
      </c>
      <c r="T176" s="5">
        <f>IFERROR(VLOOKUP(A176,[1]OIL!$A$2:$N$51,14,),0)</f>
        <v>0</v>
      </c>
      <c r="U176" s="3">
        <f t="shared" si="9"/>
        <v>500</v>
      </c>
    </row>
    <row r="177" spans="1:21" ht="17.100000000000001" customHeight="1">
      <c r="A177" s="5" t="s">
        <v>424</v>
      </c>
      <c r="B177" s="6" t="s">
        <v>29</v>
      </c>
      <c r="C177" s="4" t="s">
        <v>22</v>
      </c>
      <c r="D177" s="6" t="s">
        <v>228</v>
      </c>
      <c r="E177" s="5" t="s">
        <v>228</v>
      </c>
      <c r="F177" s="5" t="s">
        <v>434</v>
      </c>
      <c r="G177" s="5">
        <v>1</v>
      </c>
      <c r="H177" s="5">
        <f t="shared" si="13"/>
        <v>16</v>
      </c>
      <c r="I177" s="5">
        <v>16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f>IFERROR(VLOOKUP(A177,[1]OIL!$A$2:$N$51,14,),0)</f>
        <v>0</v>
      </c>
      <c r="U177" s="3">
        <f t="shared" si="9"/>
        <v>0</v>
      </c>
    </row>
    <row r="178" spans="1:21" ht="17.100000000000001" customHeight="1">
      <c r="A178" s="5" t="s">
        <v>441</v>
      </c>
      <c r="B178" s="6" t="s">
        <v>29</v>
      </c>
      <c r="C178" s="8" t="s">
        <v>16</v>
      </c>
      <c r="D178" s="8" t="s">
        <v>208</v>
      </c>
      <c r="E178" s="8" t="s">
        <v>209</v>
      </c>
      <c r="F178" s="5" t="s">
        <v>442</v>
      </c>
      <c r="G178" s="5">
        <v>2</v>
      </c>
      <c r="H178" s="5">
        <f t="shared" si="13"/>
        <v>20</v>
      </c>
      <c r="I178" s="5">
        <v>10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f>IFERROR(VLOOKUP(A178,[1]OIL!$A$2:$N$51,14,),0)</f>
        <v>20000</v>
      </c>
      <c r="U178" s="3">
        <f t="shared" si="9"/>
        <v>20000</v>
      </c>
    </row>
    <row r="179" spans="1:21" ht="17.100000000000001" customHeight="1">
      <c r="A179" s="30" t="s">
        <v>443</v>
      </c>
      <c r="B179" s="6" t="s">
        <v>29</v>
      </c>
      <c r="C179" s="8" t="s">
        <v>16</v>
      </c>
      <c r="D179" s="8" t="s">
        <v>333</v>
      </c>
      <c r="E179" s="8" t="s">
        <v>333</v>
      </c>
      <c r="F179" s="28" t="str">
        <f>VLOOKUP(A179,[2]Sheet2!$C$2:$D$11,2,)</f>
        <v>SESAME OIL 500 MLS 12 PCS</v>
      </c>
      <c r="G179" s="5">
        <v>0.5</v>
      </c>
      <c r="H179" s="5">
        <f t="shared" si="13"/>
        <v>6</v>
      </c>
      <c r="I179" s="5">
        <v>12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f>IFERROR(VLOOKUP(A179,[1]OIL!$A$2:$N$51,14,),0)</f>
        <v>5000</v>
      </c>
      <c r="U179" s="3">
        <f t="shared" si="9"/>
        <v>5000</v>
      </c>
    </row>
    <row r="180" spans="1:21" ht="17.100000000000001" customHeight="1">
      <c r="A180" s="5" t="s">
        <v>444</v>
      </c>
      <c r="B180" s="6" t="s">
        <v>29</v>
      </c>
      <c r="C180" s="8" t="s">
        <v>116</v>
      </c>
      <c r="D180" s="8" t="s">
        <v>228</v>
      </c>
      <c r="E180" s="8" t="s">
        <v>450</v>
      </c>
      <c r="F180" s="5" t="s">
        <v>451</v>
      </c>
      <c r="G180" s="5">
        <v>1</v>
      </c>
      <c r="H180" s="5">
        <f t="shared" si="13"/>
        <v>20</v>
      </c>
      <c r="I180" s="5">
        <v>20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f>IFERROR(VLOOKUP(A180,[1]OIL!$A$2:$N$51,14,),0)</f>
        <v>5000</v>
      </c>
      <c r="U180" s="3">
        <f t="shared" si="9"/>
        <v>5000</v>
      </c>
    </row>
    <row r="181" spans="1:21" ht="17.100000000000001" customHeight="1">
      <c r="A181" s="5" t="s">
        <v>445</v>
      </c>
      <c r="B181" s="6" t="s">
        <v>29</v>
      </c>
      <c r="C181" s="8" t="s">
        <v>116</v>
      </c>
      <c r="D181" s="8" t="s">
        <v>380</v>
      </c>
      <c r="E181" s="8" t="s">
        <v>381</v>
      </c>
      <c r="F181" s="28" t="s">
        <v>452</v>
      </c>
      <c r="G181" s="5">
        <v>1</v>
      </c>
      <c r="H181" s="5">
        <f t="shared" si="13"/>
        <v>20</v>
      </c>
      <c r="I181" s="5">
        <v>20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f>IFERROR(VLOOKUP(A181,[1]OIL!$A$2:$N$51,14,),0)</f>
        <v>5000</v>
      </c>
      <c r="U181" s="3">
        <f t="shared" si="9"/>
        <v>5000</v>
      </c>
    </row>
    <row r="182" spans="1:21" ht="17.100000000000001" customHeight="1">
      <c r="A182" s="30" t="s">
        <v>446</v>
      </c>
      <c r="B182" s="6" t="s">
        <v>29</v>
      </c>
      <c r="C182" s="8" t="s">
        <v>116</v>
      </c>
      <c r="D182" s="8" t="s">
        <v>228</v>
      </c>
      <c r="E182" s="8" t="s">
        <v>450</v>
      </c>
      <c r="F182" s="28" t="str">
        <f>VLOOKUP(A182,[2]Sheet2!$C$2:$D$11,2,)</f>
        <v>MUSTARD KACHI GHANI 200 ML 35 PCS</v>
      </c>
      <c r="G182" s="5">
        <v>0.2</v>
      </c>
      <c r="H182" s="5">
        <f t="shared" si="13"/>
        <v>7</v>
      </c>
      <c r="I182" s="5">
        <v>35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f>IFERROR(VLOOKUP(A182,[1]OIL!$A$2:$N$51,14,),0)</f>
        <v>5000</v>
      </c>
      <c r="U182" s="3">
        <f t="shared" si="9"/>
        <v>5000</v>
      </c>
    </row>
    <row r="183" spans="1:21" ht="17.100000000000001" customHeight="1">
      <c r="A183" s="30" t="s">
        <v>447</v>
      </c>
      <c r="B183" s="6" t="s">
        <v>29</v>
      </c>
      <c r="C183" s="8" t="s">
        <v>116</v>
      </c>
      <c r="D183" s="8" t="s">
        <v>228</v>
      </c>
      <c r="E183" s="8" t="s">
        <v>450</v>
      </c>
      <c r="F183" s="28" t="str">
        <f>VLOOKUP(A183,[2]Sheet2!$C$2:$D$11,2,)</f>
        <v>MUSTARD KACHI GHANI 500 ML 24 PCS</v>
      </c>
      <c r="G183" s="5">
        <v>0.5</v>
      </c>
      <c r="H183" s="5">
        <f t="shared" si="13"/>
        <v>12</v>
      </c>
      <c r="I183" s="5">
        <v>24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f>IFERROR(VLOOKUP(A183,[1]OIL!$A$2:$N$51,14,),0)</f>
        <v>5000</v>
      </c>
      <c r="U183" s="3">
        <f t="shared" si="9"/>
        <v>5000</v>
      </c>
    </row>
    <row r="184" spans="1:21" ht="17.100000000000001" customHeight="1">
      <c r="A184" s="30" t="s">
        <v>448</v>
      </c>
      <c r="B184" s="6" t="s">
        <v>29</v>
      </c>
      <c r="C184" s="8" t="s">
        <v>116</v>
      </c>
      <c r="D184" s="8" t="s">
        <v>380</v>
      </c>
      <c r="E184" s="8" t="s">
        <v>381</v>
      </c>
      <c r="F184" s="28" t="str">
        <f>VLOOKUP(A184,[2]Sheet2!$C$2:$D$11,2,)</f>
        <v>COLD PRESS SUNFLOWER OIL 200 ML 35 PCS</v>
      </c>
      <c r="G184" s="5">
        <v>0.2</v>
      </c>
      <c r="H184" s="5">
        <f t="shared" si="13"/>
        <v>7</v>
      </c>
      <c r="I184" s="5">
        <v>35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f>IFERROR(VLOOKUP(A184,[1]OIL!$A$2:$N$51,14,),0)</f>
        <v>5000</v>
      </c>
      <c r="U184" s="3">
        <f t="shared" si="9"/>
        <v>5000</v>
      </c>
    </row>
    <row r="185" spans="1:21" ht="17.100000000000001" customHeight="1">
      <c r="A185" s="30" t="s">
        <v>449</v>
      </c>
      <c r="B185" s="6" t="s">
        <v>29</v>
      </c>
      <c r="C185" s="8" t="s">
        <v>16</v>
      </c>
      <c r="D185" s="8" t="s">
        <v>208</v>
      </c>
      <c r="E185" s="8" t="s">
        <v>209</v>
      </c>
      <c r="F185" s="28" t="str">
        <f>VLOOKUP(A185,[2]Sheet2!$C$2:$D$11,2,)</f>
        <v>COLD PRESS GROUNDNUT 500 MLS 24 PCS</v>
      </c>
      <c r="G185" s="5">
        <v>0.5</v>
      </c>
      <c r="H185" s="5">
        <f t="shared" si="13"/>
        <v>12</v>
      </c>
      <c r="I185" s="5">
        <v>24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f>IFERROR(VLOOKUP(A185,[1]OIL!$A$2:$N$51,14,),0)</f>
        <v>5000</v>
      </c>
      <c r="U185" s="3">
        <f t="shared" si="9"/>
        <v>5000</v>
      </c>
    </row>
    <row r="186" spans="1:21" ht="17.100000000000001" customHeight="1">
      <c r="A186" s="31" t="s">
        <v>453</v>
      </c>
      <c r="B186" s="6" t="s">
        <v>29</v>
      </c>
      <c r="C186" s="8" t="s">
        <v>16</v>
      </c>
      <c r="D186" s="8" t="s">
        <v>208</v>
      </c>
      <c r="E186" s="8" t="s">
        <v>209</v>
      </c>
      <c r="F186" s="28" t="s">
        <v>454</v>
      </c>
      <c r="G186" s="29">
        <v>0.2</v>
      </c>
      <c r="H186" s="5">
        <f>+G186*I186</f>
        <v>14</v>
      </c>
      <c r="I186" s="5">
        <v>70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f>IFERROR(VLOOKUP(A186,[1]OIL!$A$2:$N$51,14,),0)</f>
        <v>21000</v>
      </c>
      <c r="U186" s="3">
        <f t="shared" si="9"/>
        <v>21000</v>
      </c>
    </row>
    <row r="187" spans="1:21" ht="17.100000000000001" customHeight="1">
      <c r="A187" s="6" t="s">
        <v>163</v>
      </c>
      <c r="B187" s="6" t="s">
        <v>29</v>
      </c>
      <c r="C187" s="8" t="s">
        <v>22</v>
      </c>
      <c r="D187" s="8" t="s">
        <v>159</v>
      </c>
      <c r="E187" s="8" t="s">
        <v>159</v>
      </c>
      <c r="F187" s="6" t="s">
        <v>164</v>
      </c>
      <c r="G187" s="5">
        <v>0.25</v>
      </c>
      <c r="H187" s="5">
        <f>+G187*I187</f>
        <v>1</v>
      </c>
      <c r="I187" s="5">
        <v>4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3">
        <f t="shared" si="9"/>
        <v>0</v>
      </c>
    </row>
    <row r="188" spans="1:21" ht="17.100000000000001" customHeight="1">
      <c r="A188" s="6" t="s">
        <v>184</v>
      </c>
      <c r="B188" s="6" t="s">
        <v>29</v>
      </c>
      <c r="C188" s="8" t="s">
        <v>22</v>
      </c>
      <c r="D188" s="8" t="s">
        <v>159</v>
      </c>
      <c r="E188" s="8" t="s">
        <v>159</v>
      </c>
      <c r="F188" s="6" t="s">
        <v>185</v>
      </c>
      <c r="G188" s="5">
        <v>0.2</v>
      </c>
      <c r="H188" s="5">
        <f>+G188*I188</f>
        <v>7.2</v>
      </c>
      <c r="I188" s="5">
        <v>36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3">
        <f t="shared" si="9"/>
        <v>0</v>
      </c>
    </row>
    <row r="189" spans="1:21" ht="17.100000000000001" customHeight="1">
      <c r="A189" s="6" t="s">
        <v>182</v>
      </c>
      <c r="B189" s="6" t="s">
        <v>29</v>
      </c>
      <c r="C189" s="8" t="s">
        <v>22</v>
      </c>
      <c r="D189" s="8" t="s">
        <v>159</v>
      </c>
      <c r="E189" s="8" t="s">
        <v>159</v>
      </c>
      <c r="F189" s="6" t="s">
        <v>183</v>
      </c>
      <c r="G189" s="5">
        <v>0.5</v>
      </c>
      <c r="H189" s="5">
        <f>+G189*I189</f>
        <v>12</v>
      </c>
      <c r="I189" s="5">
        <v>24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>
        <f t="shared" si="9"/>
        <v>0</v>
      </c>
    </row>
  </sheetData>
  <autoFilter ref="A3:T189" xr:uid="{A50095F9-4FC9-45BA-9F1C-65058EF926AD}"/>
  <conditionalFormatting sqref="A96">
    <cfRule type="expression" dxfId="1" priority="2">
      <formula>COUNTIF($A$96:$A$96,A96)&gt;1</formula>
    </cfRule>
  </conditionalFormatting>
  <conditionalFormatting sqref="B87:B91">
    <cfRule type="expression" dxfId="0" priority="1">
      <formula>COUNTIF($B$87:$B$91,B87)&gt;1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0605-CEBE-442C-BF3E-28F51217EBFF}">
  <dimension ref="A1:I80"/>
  <sheetViews>
    <sheetView topLeftCell="A2" zoomScale="205" zoomScaleNormal="205" workbookViewId="0">
      <selection activeCell="A6" sqref="A6"/>
    </sheetView>
  </sheetViews>
  <sheetFormatPr defaultRowHeight="15"/>
  <cols>
    <col min="1" max="1" width="13.7109375" bestFit="1" customWidth="1"/>
    <col min="2" max="2" width="10" style="45" bestFit="1" customWidth="1"/>
    <col min="3" max="3" width="9.28515625" bestFit="1" customWidth="1"/>
    <col min="4" max="4" width="12.28515625" bestFit="1" customWidth="1"/>
    <col min="5" max="5" width="9.28515625" style="45" bestFit="1" customWidth="1"/>
    <col min="6" max="6" width="10" style="45" bestFit="1" customWidth="1"/>
    <col min="7" max="7" width="11.140625" bestFit="1" customWidth="1"/>
    <col min="8" max="8" width="15.42578125" bestFit="1" customWidth="1"/>
    <col min="9" max="9" width="21.42578125" style="45" bestFit="1" customWidth="1"/>
    <col min="10" max="10" width="17.28515625" bestFit="1" customWidth="1"/>
    <col min="11" max="11" width="9.28515625" bestFit="1" customWidth="1"/>
    <col min="12" max="12" width="11.5703125" bestFit="1" customWidth="1"/>
    <col min="13" max="13" width="9.28515625" bestFit="1" customWidth="1"/>
    <col min="14" max="14" width="6.28515625" bestFit="1" customWidth="1"/>
    <col min="15" max="15" width="3.5703125" bestFit="1" customWidth="1"/>
    <col min="16" max="16" width="10.7109375" bestFit="1" customWidth="1"/>
  </cols>
  <sheetData>
    <row r="1" spans="1:9">
      <c r="B1"/>
    </row>
    <row r="3" spans="1:9">
      <c r="B3" s="43" t="s">
        <v>478</v>
      </c>
      <c r="E3"/>
      <c r="F3"/>
      <c r="I3"/>
    </row>
    <row r="4" spans="1:9" ht="45">
      <c r="A4" s="59"/>
      <c r="B4" s="52" t="s">
        <v>22</v>
      </c>
      <c r="C4" s="52"/>
      <c r="D4" s="52" t="s">
        <v>116</v>
      </c>
      <c r="E4" s="52"/>
      <c r="F4" s="53" t="s">
        <v>481</v>
      </c>
      <c r="G4" s="53" t="s">
        <v>482</v>
      </c>
      <c r="I4"/>
    </row>
    <row r="5" spans="1:9" ht="45">
      <c r="A5" s="49" t="s">
        <v>479</v>
      </c>
      <c r="B5" s="60" t="s">
        <v>480</v>
      </c>
      <c r="C5" s="62" t="s">
        <v>483</v>
      </c>
      <c r="D5" s="60" t="s">
        <v>480</v>
      </c>
      <c r="E5" s="61" t="s">
        <v>483</v>
      </c>
      <c r="F5" s="53"/>
      <c r="G5" s="53"/>
      <c r="I5"/>
    </row>
    <row r="6" spans="1:9">
      <c r="A6" s="56">
        <v>1</v>
      </c>
      <c r="B6" s="55">
        <v>971.5</v>
      </c>
      <c r="C6" s="55">
        <v>48.575000000000003</v>
      </c>
      <c r="D6" s="57">
        <v>1218</v>
      </c>
      <c r="E6" s="57">
        <v>60.9</v>
      </c>
      <c r="F6" s="51">
        <v>2189.5</v>
      </c>
      <c r="G6" s="51">
        <v>109.47499999999999</v>
      </c>
      <c r="I6"/>
    </row>
    <row r="7" spans="1:9">
      <c r="A7" s="56">
        <v>5</v>
      </c>
      <c r="B7" s="55">
        <v>619</v>
      </c>
      <c r="C7" s="55">
        <v>30.95</v>
      </c>
      <c r="D7" s="55">
        <v>458</v>
      </c>
      <c r="E7" s="55">
        <v>22.9</v>
      </c>
      <c r="F7" s="55">
        <v>1077</v>
      </c>
      <c r="G7" s="55">
        <v>53.85</v>
      </c>
      <c r="I7"/>
    </row>
    <row r="8" spans="1:9">
      <c r="A8" s="56">
        <v>2</v>
      </c>
      <c r="B8" s="55">
        <v>103</v>
      </c>
      <c r="C8" s="55">
        <v>5.15</v>
      </c>
      <c r="D8" s="55">
        <v>74</v>
      </c>
      <c r="E8" s="55">
        <v>3.7</v>
      </c>
      <c r="F8" s="55">
        <v>177</v>
      </c>
      <c r="G8" s="55">
        <v>8.85</v>
      </c>
      <c r="I8"/>
    </row>
    <row r="9" spans="1:9">
      <c r="A9" s="56" t="s">
        <v>463</v>
      </c>
      <c r="B9" s="55">
        <v>10.4</v>
      </c>
      <c r="C9" s="55">
        <v>0.52</v>
      </c>
      <c r="D9" s="55">
        <v>120</v>
      </c>
      <c r="E9" s="55">
        <v>6</v>
      </c>
      <c r="F9" s="55">
        <v>130.4</v>
      </c>
      <c r="G9" s="55">
        <v>6.5200000000000005</v>
      </c>
      <c r="I9"/>
    </row>
    <row r="10" spans="1:9">
      <c r="A10" s="56">
        <v>3</v>
      </c>
      <c r="B10" s="55">
        <v>29</v>
      </c>
      <c r="C10" s="55">
        <v>1.45</v>
      </c>
      <c r="D10" s="55">
        <v>3</v>
      </c>
      <c r="E10" s="55">
        <v>0.15</v>
      </c>
      <c r="F10" s="55">
        <v>32</v>
      </c>
      <c r="G10" s="55">
        <v>1.6</v>
      </c>
      <c r="I10"/>
    </row>
    <row r="11" spans="1:9">
      <c r="A11" s="58" t="s">
        <v>474</v>
      </c>
      <c r="B11" s="57">
        <v>22</v>
      </c>
      <c r="C11" s="57">
        <v>1.1000000000000001</v>
      </c>
      <c r="D11" s="57">
        <v>10</v>
      </c>
      <c r="E11" s="57">
        <v>0.5</v>
      </c>
      <c r="F11" s="57">
        <v>32</v>
      </c>
      <c r="G11" s="57">
        <v>1.6</v>
      </c>
      <c r="H11" t="s">
        <v>484</v>
      </c>
      <c r="I11"/>
    </row>
    <row r="12" spans="1:9">
      <c r="A12" s="58" t="s">
        <v>475</v>
      </c>
      <c r="B12" s="57">
        <v>18.5</v>
      </c>
      <c r="C12" s="57">
        <v>0.92500000000000004</v>
      </c>
      <c r="D12" s="57">
        <v>5</v>
      </c>
      <c r="E12" s="57">
        <v>0.25</v>
      </c>
      <c r="F12" s="57">
        <v>23.5</v>
      </c>
      <c r="G12" s="57">
        <v>1.175</v>
      </c>
      <c r="H12" t="s">
        <v>484</v>
      </c>
      <c r="I12"/>
    </row>
    <row r="13" spans="1:9">
      <c r="A13" s="50" t="s">
        <v>477</v>
      </c>
      <c r="B13" s="51">
        <v>1773.4</v>
      </c>
      <c r="C13" s="54">
        <v>88.67</v>
      </c>
      <c r="D13" s="51">
        <v>1888</v>
      </c>
      <c r="E13" s="51">
        <v>94.4</v>
      </c>
      <c r="F13" s="51">
        <v>3661.4</v>
      </c>
      <c r="G13" s="51">
        <v>183.07</v>
      </c>
      <c r="I13"/>
    </row>
    <row r="14" spans="1:9">
      <c r="B14"/>
      <c r="E14"/>
      <c r="F14"/>
    </row>
    <row r="15" spans="1:9">
      <c r="B15"/>
      <c r="E15"/>
      <c r="F15"/>
    </row>
    <row r="16" spans="1:9">
      <c r="B16"/>
      <c r="E16"/>
      <c r="F16"/>
    </row>
    <row r="17" spans="2:6">
      <c r="B17"/>
      <c r="E17"/>
      <c r="F17"/>
    </row>
    <row r="18" spans="2:6">
      <c r="B18"/>
      <c r="E18"/>
      <c r="F18"/>
    </row>
    <row r="19" spans="2:6">
      <c r="B19"/>
      <c r="E19"/>
      <c r="F19"/>
    </row>
    <row r="20" spans="2:6">
      <c r="B20"/>
    </row>
    <row r="21" spans="2:6">
      <c r="B21"/>
    </row>
    <row r="22" spans="2:6">
      <c r="B22"/>
    </row>
    <row r="23" spans="2:6">
      <c r="B23"/>
    </row>
    <row r="24" spans="2:6">
      <c r="B24"/>
    </row>
    <row r="25" spans="2:6">
      <c r="B25"/>
    </row>
    <row r="26" spans="2:6">
      <c r="B26"/>
    </row>
    <row r="27" spans="2:6">
      <c r="B27"/>
    </row>
    <row r="28" spans="2:6">
      <c r="B28"/>
    </row>
    <row r="29" spans="2:6">
      <c r="B29"/>
    </row>
    <row r="30" spans="2:6">
      <c r="B30"/>
    </row>
    <row r="31" spans="2:6">
      <c r="B31"/>
    </row>
    <row r="32" spans="2:6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FINAL (2)</vt:lpstr>
      <vt:lpstr>FINAL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Jivo112</dc:creator>
  <cp:lastModifiedBy>Jivo112</cp:lastModifiedBy>
  <dcterms:created xsi:type="dcterms:W3CDTF">2026-07-28T12:23:00Z</dcterms:created>
  <dcterms:modified xsi:type="dcterms:W3CDTF">2026-08-03T11:00:22Z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2C3001437294499396B66BFC5A417E21_13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